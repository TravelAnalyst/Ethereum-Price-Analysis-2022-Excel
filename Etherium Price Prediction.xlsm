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8164\Desktop\"/>
    </mc:Choice>
  </mc:AlternateContent>
  <xr:revisionPtr revIDLastSave="0" documentId="13_ncr:1_{46D6F6A1-9426-4EE3-8B6D-725F330CED72}" xr6:coauthVersionLast="47" xr6:coauthVersionMax="47" xr10:uidLastSave="{00000000-0000-0000-0000-000000000000}"/>
  <bookViews>
    <workbookView xWindow="-110" yWindow="-110" windowWidth="19420" windowHeight="10300" activeTab="3" xr2:uid="{36ED171B-33CC-41B2-9B3C-C0C6A9B9BDAC}"/>
  </bookViews>
  <sheets>
    <sheet name="Introduction" sheetId="5" r:id="rId1"/>
    <sheet name="Regression Analysis" sheetId="2" r:id="rId2"/>
    <sheet name="Forecast Analysis" sheetId="3" r:id="rId3"/>
    <sheet name="Detailed Analysis" sheetId="6" r:id="rId4"/>
  </sheets>
  <definedNames>
    <definedName name="ExternalData_5" localSheetId="3">'Detailed Analysis'!$A$1:$E$60</definedName>
    <definedName name="ExternalData_5" localSheetId="1">'Regression Analysis'!$A$1:$E$60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L18" i="6"/>
  <c r="L17" i="6"/>
  <c r="L16" i="6"/>
  <c r="L15" i="6"/>
  <c r="L7" i="6"/>
  <c r="L9" i="6" s="1"/>
  <c r="L6" i="6"/>
  <c r="L8" i="6" s="1"/>
  <c r="L5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21" i="6"/>
  <c r="C63" i="3"/>
  <c r="C64" i="3"/>
  <c r="C72" i="3"/>
  <c r="C80" i="3"/>
  <c r="C88" i="3"/>
  <c r="C65" i="3"/>
  <c r="C73" i="3"/>
  <c r="C81" i="3"/>
  <c r="C89" i="3"/>
  <c r="C75" i="3"/>
  <c r="C83" i="3"/>
  <c r="C62" i="3"/>
  <c r="C78" i="3"/>
  <c r="C87" i="3"/>
  <c r="C66" i="3"/>
  <c r="C74" i="3"/>
  <c r="C82" i="3"/>
  <c r="C90" i="3"/>
  <c r="C67" i="3"/>
  <c r="C91" i="3"/>
  <c r="C71" i="3"/>
  <c r="C68" i="3"/>
  <c r="C76" i="3"/>
  <c r="C84" i="3"/>
  <c r="C61" i="3"/>
  <c r="C69" i="3"/>
  <c r="C77" i="3"/>
  <c r="C85" i="3"/>
  <c r="C70" i="3"/>
  <c r="C86" i="3"/>
  <c r="C79" i="3"/>
  <c r="E79" i="3"/>
  <c r="E77" i="3"/>
  <c r="D76" i="3"/>
  <c r="E67" i="3"/>
  <c r="E66" i="3"/>
  <c r="E83" i="3"/>
  <c r="D73" i="3"/>
  <c r="E72" i="3"/>
  <c r="E61" i="3"/>
  <c r="E82" i="3"/>
  <c r="E88" i="3"/>
  <c r="D88" i="3"/>
  <c r="E91" i="3"/>
  <c r="D81" i="3"/>
  <c r="D84" i="3"/>
  <c r="E81" i="3"/>
  <c r="D79" i="3"/>
  <c r="D77" i="3"/>
  <c r="E76" i="3"/>
  <c r="D67" i="3"/>
  <c r="D66" i="3"/>
  <c r="D83" i="3"/>
  <c r="E73" i="3"/>
  <c r="D72" i="3"/>
  <c r="E71" i="3"/>
  <c r="D89" i="3"/>
  <c r="D63" i="3"/>
  <c r="E85" i="3"/>
  <c r="E62" i="3"/>
  <c r="D74" i="3"/>
  <c r="E86" i="3"/>
  <c r="E69" i="3"/>
  <c r="D68" i="3"/>
  <c r="E90" i="3"/>
  <c r="D87" i="3"/>
  <c r="E75" i="3"/>
  <c r="D65" i="3"/>
  <c r="D64" i="3"/>
  <c r="D86" i="3"/>
  <c r="D69" i="3"/>
  <c r="E68" i="3"/>
  <c r="D90" i="3"/>
  <c r="E87" i="3"/>
  <c r="D75" i="3"/>
  <c r="E65" i="3"/>
  <c r="E64" i="3"/>
  <c r="E70" i="3"/>
  <c r="E78" i="3"/>
  <c r="E84" i="3"/>
  <c r="D85" i="3"/>
  <c r="E80" i="3"/>
  <c r="D70" i="3"/>
  <c r="D61" i="3"/>
  <c r="D71" i="3"/>
  <c r="D82" i="3"/>
  <c r="D78" i="3"/>
  <c r="E89" i="3"/>
  <c r="E63" i="3"/>
  <c r="E74" i="3"/>
  <c r="D80" i="3"/>
  <c r="D91" i="3"/>
  <c r="D6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B26D3C-95DD-4AF3-AAC9-F37EFB639B48}" name="Connection3" type="4" refreshedVersion="0" background="1">
    <webPr url="https://coinmarketcap.com/currencies/ethereum/historical-data/" htmlTables="1" htmlFormat="all"/>
  </connection>
  <connection id="2" xr16:uid="{152CC187-AEE5-4034-8E71-7563CE09E60A}" name="Connection41" type="4" refreshedVersion="8" background="1" saveData="1">
    <webPr url="https://www.coingecko.com/en/coins/ethereum/historical_data?end_date=2022-06-01&amp;start_date=2021-06-01#panel" htmlTables="1" htmlFormat="all">
      <tables count="1">
        <x v="1"/>
      </tables>
    </webPr>
  </connection>
  <connection id="3" xr16:uid="{2CEB5995-F1D4-4190-B769-959FDAABBCCE}" name="Connection411" type="4" refreshedVersion="8" background="1" saveData="1">
    <webPr url="https://www.coingecko.com/en/coins/ethereum/historical_data?end_date=2022-06-01&amp;start_date=2021-06-01#panel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<sst xmlns="http://schemas.openxmlformats.org/spreadsheetml/2006/main" count="82" uniqueCount="74">
  <si>
    <t>Market Cap</t>
  </si>
  <si>
    <t>Volume</t>
  </si>
  <si>
    <t>Date</t>
  </si>
  <si>
    <t>Open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</si>
  <si>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</si>
  <si>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</si>
  <si>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</si>
  <si>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</si>
  <si>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</si>
  <si>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</si>
  <si>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</si>
  <si>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</si>
  <si>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</si>
  <si>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</si>
  <si>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</si>
  <si>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</si>
  <si>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</si>
  <si>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</si>
  <si>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</si>
  <si>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</si>
  <si>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</si>
  <si>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</si>
  <si>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</si>
  <si>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</si>
  <si>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</si>
  <si>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</si>
  <si>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</si>
  <si>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</si>
  <si>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Closing Price</t>
  </si>
  <si>
    <t>Forecast</t>
  </si>
  <si>
    <t>The tredline is indicating that the price is dropping on average 29.73$ daily.</t>
  </si>
  <si>
    <r>
      <t xml:space="preserve">Considering the data given from the </t>
    </r>
    <r>
      <rPr>
        <b/>
        <sz val="11"/>
        <color theme="1"/>
        <rFont val="Calibri"/>
        <family val="2"/>
        <scheme val="minor"/>
      </rPr>
      <t>closing price</t>
    </r>
    <r>
      <rPr>
        <sz val="11"/>
        <color theme="1"/>
        <rFont val="Calibri"/>
        <family val="2"/>
        <scheme val="minor"/>
      </rPr>
      <t xml:space="preserve"> coefficient we can we can predict negative correlation for the future period. </t>
    </r>
  </si>
  <si>
    <t>Timeline</t>
  </si>
  <si>
    <t>Values</t>
  </si>
  <si>
    <t>Lower Confidence Bound</t>
  </si>
  <si>
    <t>Upper Confidence Bound</t>
  </si>
  <si>
    <t>Largest(2)</t>
  </si>
  <si>
    <t>Smallest(2)</t>
  </si>
  <si>
    <t>Mean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</si>
  <si>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</si>
  <si>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</si>
  <si>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</si>
  <si>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</si>
  <si>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</si>
  <si>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</si>
  <si>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</si>
  <si>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</si>
  <si>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</si>
  <si>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</si>
  <si>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</si>
  <si>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Analysis</t>
  </si>
  <si>
    <t xml:space="preserve">Forcast Price Prediction as well as Descriptive Analysis. </t>
  </si>
  <si>
    <t xml:space="preserve"> </t>
  </si>
  <si>
    <t xml:space="preserve">Web Scraping Project </t>
  </si>
  <si>
    <t>Using Visual Basic Editor a few lines of code are implemented on the webpage CoingGecko to extract historical price data for</t>
  </si>
  <si>
    <t xml:space="preserve">months of April and March of 2020. </t>
  </si>
  <si>
    <t xml:space="preserve">as data vizualization. </t>
  </si>
  <si>
    <t>Returns</t>
  </si>
  <si>
    <t>20MA price</t>
  </si>
  <si>
    <t>20MA volume</t>
  </si>
  <si>
    <t>Detailed analysis sheet includes formated data, price returns, moving average and several more insights as well</t>
  </si>
  <si>
    <t>Total Dates</t>
  </si>
  <si>
    <t>Max Volume</t>
  </si>
  <si>
    <t>Min Volume</t>
  </si>
  <si>
    <t>AVG daily volume</t>
  </si>
  <si>
    <t>% price drop from high</t>
  </si>
  <si>
    <t>Closing Price high</t>
  </si>
  <si>
    <t>Closing Price low</t>
  </si>
  <si>
    <t>We can clearly see 45% drop from the all time high in previous two months</t>
  </si>
  <si>
    <t>We are currently located 12% above the minimum ETH value for the past two months</t>
  </si>
  <si>
    <t>2 month returns</t>
  </si>
  <si>
    <t>% from 2 mnth low</t>
  </si>
  <si>
    <t>Brief Ethereum Forcast Analysis for the month of June 2022</t>
  </si>
  <si>
    <t xml:space="preserve">This quick Ethereum price prediction for the month of June is performed using analytics tools such as Regression Analysis,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</si>
</sst>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d\-mmm\-yy;@"/>
    <numFmt numFmtId="165" formatCode="&quot;$&quot;#,##0"/>
    <numFmt numFmtId="166" formatCode="_(&quot;$&quot;* #,##0_);_(&quot;$&quot;* \(#,##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14" fontId="4" fillId="0" borderId="0" xfId="0" applyNumberFormat="1" applyFont="1" applyAlignment="1">
      <alignment horizontal="center" vertical="center"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5" fillId="0" borderId="2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Continuous"/>
    </xf>
    <xf numFmtId="0" fontId="0" fillId="0" borderId="0" xfId="0" applyAlignment="1">
      <alignment horizontal="center"/>
    </xf>
    <xf numFmtId="6" fontId="3" fillId="0" borderId="0" xfId="0" applyNumberFormat="1" applyFont="1" applyAlignment="1">
      <alignment horizontal="center" vertical="center" wrapText="1"/>
    </xf>
    <xf numFmtId="8" fontId="3" fillId="0" borderId="0" xfId="0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64" fontId="2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4" fontId="0" fillId="0" borderId="0" xfId="0" applyNumberFormat="1"/>
    <xf numFmtId="8" fontId="0" fillId="0" borderId="0" xfId="0" applyNumberFormat="1"/>
    <xf numFmtId="44" fontId="0" fillId="0" borderId="0" xfId="1" applyFont="1" applyAlignment="1">
      <alignment horizontal="center"/>
    </xf>
    <xf numFmtId="44" fontId="0" fillId="2" borderId="0" xfId="1" applyFont="1" applyFill="1" applyAlignment="1">
      <alignment horizontal="center"/>
    </xf>
    <xf numFmtId="0" fontId="6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Font="1"/>
    <xf numFmtId="165" fontId="4" fillId="2" borderId="0" xfId="0" applyNumberFormat="1" applyFont="1" applyFill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9" fontId="4" fillId="2" borderId="0" xfId="2" applyFont="1" applyFill="1" applyAlignment="1">
      <alignment horizontal="center" vertical="center" wrapText="1"/>
    </xf>
    <xf numFmtId="9" fontId="0" fillId="0" borderId="0" xfId="2" applyFont="1"/>
    <xf numFmtId="0" fontId="0" fillId="0" borderId="3" xfId="0" applyBorder="1"/>
    <xf numFmtId="165" fontId="0" fillId="0" borderId="3" xfId="0" applyNumberFormat="1" applyBorder="1"/>
    <xf numFmtId="9" fontId="0" fillId="0" borderId="3" xfId="2" applyFont="1" applyBorder="1"/>
    <xf numFmtId="0" fontId="2" fillId="0" borderId="0" xfId="0" applyFont="1"/>
    <xf numFmtId="166" fontId="0" fillId="0" borderId="3" xfId="1" applyNumberFormat="1" applyFont="1" applyBorder="1"/>
    <xf numFmtId="9" fontId="7" fillId="0" borderId="3" xfId="2" applyFont="1" applyBorder="1"/>
    <xf numFmtId="9" fontId="8" fillId="3" borderId="0" xfId="2" applyFont="1" applyFill="1"/>
  </cellXfs>
  <cellStyles count="3">
    <cellStyle name="Currency" xfId="1" builtinId="4"/>
    <cellStyle name="Normal" xfId="0" builtinId="0"/>
    <cellStyle name="Percent" xfId="2" builtinId="5"/>
  </cellStyles>
  <dxfs count="6">
    <dxf>
      <font>
        <color auto="1"/>
      </font>
    </dxf>
    <dxf>
      <font>
        <color rgb="FFFF0000"/>
      </font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'Regression Analysis'!$E$1</c:f>
              <c:strCache>
                <c:ptCount val="1"/>
                <c:pt idx="0">
                  <c:v>Closing Price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1750" cap="rnd">
                <a:solidFill>
                  <a:srgbClr val="C00000">
                    <a:alpha val="96000"/>
                  </a:srgb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5188891280516187E-2"/>
                  <c:y val="-0.432050524934383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'Regression Analysis'!$A$2:$A$60</c:f>
              <c:numCache>
                <c:formatCode>m/d/yyyy</c:formatCode>
                <c:ptCount val="59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</c:numCache>
            </c:numRef>
          </c:xVal>
          <c:yVal>
            <c:numRef>
              <c:f>'Regression Analysis'!$E$2:$E$60</c:f>
              <c:numCache>
                <c:formatCode>"$"#,##0.00_);[Red]\("$"#,##0.00\)</c:formatCode>
                <c:ptCount val="59"/>
                <c:pt idx="0">
                  <c:v>3521.58</c:v>
                </c:pt>
                <c:pt idx="1">
                  <c:v>3520.97</c:v>
                </c:pt>
                <c:pt idx="2">
                  <c:v>3422.97</c:v>
                </c:pt>
                <c:pt idx="3">
                  <c:v>3171.37</c:v>
                </c:pt>
                <c:pt idx="4">
                  <c:v>3232.83</c:v>
                </c:pt>
                <c:pt idx="5">
                  <c:v>3192.03</c:v>
                </c:pt>
                <c:pt idx="6">
                  <c:v>3265.94</c:v>
                </c:pt>
                <c:pt idx="7">
                  <c:v>3219.16</c:v>
                </c:pt>
                <c:pt idx="8">
                  <c:v>2992.7</c:v>
                </c:pt>
                <c:pt idx="9">
                  <c:v>3038.21</c:v>
                </c:pt>
                <c:pt idx="10">
                  <c:v>3121.4</c:v>
                </c:pt>
                <c:pt idx="11">
                  <c:v>3023.42</c:v>
                </c:pt>
                <c:pt idx="12">
                  <c:v>3045.43</c:v>
                </c:pt>
                <c:pt idx="13">
                  <c:v>3066.36</c:v>
                </c:pt>
                <c:pt idx="14">
                  <c:v>2995.72</c:v>
                </c:pt>
                <c:pt idx="15">
                  <c:v>3061.89</c:v>
                </c:pt>
                <c:pt idx="16">
                  <c:v>3104.69</c:v>
                </c:pt>
                <c:pt idx="17">
                  <c:v>3079.68</c:v>
                </c:pt>
                <c:pt idx="18">
                  <c:v>2987.49</c:v>
                </c:pt>
                <c:pt idx="19">
                  <c:v>2967.09</c:v>
                </c:pt>
                <c:pt idx="20">
                  <c:v>2940.69</c:v>
                </c:pt>
                <c:pt idx="21">
                  <c:v>2922.9</c:v>
                </c:pt>
                <c:pt idx="22">
                  <c:v>3008.34</c:v>
                </c:pt>
                <c:pt idx="23">
                  <c:v>2806.75</c:v>
                </c:pt>
                <c:pt idx="24">
                  <c:v>2889.59</c:v>
                </c:pt>
                <c:pt idx="25">
                  <c:v>2932.46</c:v>
                </c:pt>
                <c:pt idx="26">
                  <c:v>2817.49</c:v>
                </c:pt>
                <c:pt idx="27">
                  <c:v>2738.17</c:v>
                </c:pt>
                <c:pt idx="28">
                  <c:v>2832.51</c:v>
                </c:pt>
                <c:pt idx="29">
                  <c:v>2861.37</c:v>
                </c:pt>
                <c:pt idx="30">
                  <c:v>2786.05</c:v>
                </c:pt>
                <c:pt idx="31">
                  <c:v>2942.05</c:v>
                </c:pt>
                <c:pt idx="32">
                  <c:v>2753.94</c:v>
                </c:pt>
                <c:pt idx="33">
                  <c:v>2699.71</c:v>
                </c:pt>
                <c:pt idx="34">
                  <c:v>2641.23</c:v>
                </c:pt>
                <c:pt idx="35">
                  <c:v>2517.83</c:v>
                </c:pt>
                <c:pt idx="36">
                  <c:v>2249.89</c:v>
                </c:pt>
                <c:pt idx="37">
                  <c:v>2344.8000000000002</c:v>
                </c:pt>
                <c:pt idx="38">
                  <c:v>2080.91</c:v>
                </c:pt>
                <c:pt idx="39">
                  <c:v>1966.7</c:v>
                </c:pt>
                <c:pt idx="40">
                  <c:v>2010.21</c:v>
                </c:pt>
                <c:pt idx="41">
                  <c:v>2064.23</c:v>
                </c:pt>
                <c:pt idx="42">
                  <c:v>2147.0500000000002</c:v>
                </c:pt>
                <c:pt idx="43">
                  <c:v>2025.89</c:v>
                </c:pt>
                <c:pt idx="44">
                  <c:v>2095.1799999999998</c:v>
                </c:pt>
                <c:pt idx="45">
                  <c:v>1915.18</c:v>
                </c:pt>
                <c:pt idx="46">
                  <c:v>2023.85</c:v>
                </c:pt>
                <c:pt idx="47">
                  <c:v>1963.99</c:v>
                </c:pt>
                <c:pt idx="48">
                  <c:v>1978.15</c:v>
                </c:pt>
                <c:pt idx="49">
                  <c:v>2046.65</c:v>
                </c:pt>
                <c:pt idx="50">
                  <c:v>1974.58</c:v>
                </c:pt>
                <c:pt idx="51">
                  <c:v>1979.77</c:v>
                </c:pt>
                <c:pt idx="52">
                  <c:v>1944.84</c:v>
                </c:pt>
                <c:pt idx="53">
                  <c:v>1807.97</c:v>
                </c:pt>
                <c:pt idx="54">
                  <c:v>1724.88</c:v>
                </c:pt>
                <c:pt idx="55">
                  <c:v>1798.69</c:v>
                </c:pt>
                <c:pt idx="56">
                  <c:v>1814.98</c:v>
                </c:pt>
                <c:pt idx="57">
                  <c:v>1995.94</c:v>
                </c:pt>
                <c:pt idx="58">
                  <c:v>1944.08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A-42BD-8446-93B2357C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452656"/>
        <c:axId val="588449376"/>
      </c:scatterChart>
      <c:valAx>
        <c:axId val="58845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49376"/>
        <c:crosses val="autoZero"/>
        <c:crossBetween val="midCat"/>
      </c:valAx>
      <c:valAx>
        <c:axId val="5884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_);[Red]\(&quot;$&quot;#,##0.0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5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'Forecast Analysis'!$B$1</c:f>
              <c:strCache>
                <c:ptCount val="1"/>
                <c:pt idx="0">
                  <c:v>Values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 Analysis'!$B$2:$B$91</c:f>
              <c:numCache>
                <c:formatCode>"$"#,##0.00_);[Red]\("$"#,##0.00\)</c:formatCode>
                <c:ptCount val="90"/>
                <c:pt idx="0">
                  <c:v>3521.58</c:v>
                </c:pt>
                <c:pt idx="1">
                  <c:v>3520.97</c:v>
                </c:pt>
                <c:pt idx="2">
                  <c:v>3422.97</c:v>
                </c:pt>
                <c:pt idx="3">
                  <c:v>3171.37</c:v>
                </c:pt>
                <c:pt idx="4">
                  <c:v>3232.83</c:v>
                </c:pt>
                <c:pt idx="5">
                  <c:v>3192.03</c:v>
                </c:pt>
                <c:pt idx="6">
                  <c:v>3265.94</c:v>
                </c:pt>
                <c:pt idx="7">
                  <c:v>3219.16</c:v>
                </c:pt>
                <c:pt idx="8">
                  <c:v>2992.7</c:v>
                </c:pt>
                <c:pt idx="9">
                  <c:v>3038.21</c:v>
                </c:pt>
                <c:pt idx="10">
                  <c:v>3121.4</c:v>
                </c:pt>
                <c:pt idx="11">
                  <c:v>3023.42</c:v>
                </c:pt>
                <c:pt idx="12">
                  <c:v>3045.43</c:v>
                </c:pt>
                <c:pt idx="13">
                  <c:v>3066.36</c:v>
                </c:pt>
                <c:pt idx="14">
                  <c:v>2995.72</c:v>
                </c:pt>
                <c:pt idx="15">
                  <c:v>3061.89</c:v>
                </c:pt>
                <c:pt idx="16">
                  <c:v>3104.69</c:v>
                </c:pt>
                <c:pt idx="17">
                  <c:v>3079.68</c:v>
                </c:pt>
                <c:pt idx="18">
                  <c:v>2987.49</c:v>
                </c:pt>
                <c:pt idx="19">
                  <c:v>2967.09</c:v>
                </c:pt>
                <c:pt idx="20">
                  <c:v>2940.69</c:v>
                </c:pt>
                <c:pt idx="21">
                  <c:v>2922.9</c:v>
                </c:pt>
                <c:pt idx="22">
                  <c:v>3008.34</c:v>
                </c:pt>
                <c:pt idx="23">
                  <c:v>2806.75</c:v>
                </c:pt>
                <c:pt idx="24">
                  <c:v>2889.59</c:v>
                </c:pt>
                <c:pt idx="25">
                  <c:v>2932.46</c:v>
                </c:pt>
                <c:pt idx="26">
                  <c:v>2817.49</c:v>
                </c:pt>
                <c:pt idx="27">
                  <c:v>2738.17</c:v>
                </c:pt>
                <c:pt idx="28">
                  <c:v>2832.51</c:v>
                </c:pt>
                <c:pt idx="29">
                  <c:v>2861.37</c:v>
                </c:pt>
                <c:pt idx="30">
                  <c:v>2786.05</c:v>
                </c:pt>
                <c:pt idx="31">
                  <c:v>2942.05</c:v>
                </c:pt>
                <c:pt idx="32">
                  <c:v>2753.94</c:v>
                </c:pt>
                <c:pt idx="33">
                  <c:v>2699.71</c:v>
                </c:pt>
                <c:pt idx="34">
                  <c:v>2641.23</c:v>
                </c:pt>
                <c:pt idx="35">
                  <c:v>2517.83</c:v>
                </c:pt>
                <c:pt idx="36">
                  <c:v>2249.89</c:v>
                </c:pt>
                <c:pt idx="37">
                  <c:v>2344.8000000000002</c:v>
                </c:pt>
                <c:pt idx="38">
                  <c:v>2080.91</c:v>
                </c:pt>
                <c:pt idx="39">
                  <c:v>1966.7</c:v>
                </c:pt>
                <c:pt idx="40">
                  <c:v>2010.21</c:v>
                </c:pt>
                <c:pt idx="41">
                  <c:v>2064.23</c:v>
                </c:pt>
                <c:pt idx="42">
                  <c:v>2147.0500000000002</c:v>
                </c:pt>
                <c:pt idx="43">
                  <c:v>2025.89</c:v>
                </c:pt>
                <c:pt idx="44">
                  <c:v>2095.1799999999998</c:v>
                </c:pt>
                <c:pt idx="45">
                  <c:v>1915.18</c:v>
                </c:pt>
                <c:pt idx="46">
                  <c:v>2023.85</c:v>
                </c:pt>
                <c:pt idx="47">
                  <c:v>1963.99</c:v>
                </c:pt>
                <c:pt idx="48">
                  <c:v>1978.15</c:v>
                </c:pt>
                <c:pt idx="49">
                  <c:v>2046.65</c:v>
                </c:pt>
                <c:pt idx="50">
                  <c:v>1974.58</c:v>
                </c:pt>
                <c:pt idx="51">
                  <c:v>1979.77</c:v>
                </c:pt>
                <c:pt idx="52">
                  <c:v>1944.84</c:v>
                </c:pt>
                <c:pt idx="53">
                  <c:v>1807.97</c:v>
                </c:pt>
                <c:pt idx="54">
                  <c:v>1724.88</c:v>
                </c:pt>
                <c:pt idx="55">
                  <c:v>1798.69</c:v>
                </c:pt>
                <c:pt idx="56">
                  <c:v>1814.98</c:v>
                </c:pt>
                <c:pt idx="57">
                  <c:v>1995.94</c:v>
                </c:pt>
                <c:pt idx="58">
                  <c:v>1944.08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1-4B79-B2BB-F249E7EE6B69}"/>
            </c:ext>
          </c:extLst>
        </c:ser>
        <c:ser>
          <c:idx val="1"/>
          <c:order val="1"/>
          <c:tx>
            <c:strRef>
              <c:f>'Forecast Analysis'!$C$1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 Analysis'!$A$2:$A$91</c:f>
              <c:numCache>
                <c:formatCode>m/d/yyyy</c:formatCode>
                <c:ptCount val="90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  <c:pt idx="59">
                  <c:v>44713</c:v>
                </c:pt>
                <c:pt idx="60">
                  <c:v>44714</c:v>
                </c:pt>
                <c:pt idx="61">
                  <c:v>44715</c:v>
                </c:pt>
                <c:pt idx="62">
                  <c:v>44716</c:v>
                </c:pt>
                <c:pt idx="63">
                  <c:v>44717</c:v>
                </c:pt>
                <c:pt idx="64">
                  <c:v>44718</c:v>
                </c:pt>
                <c:pt idx="65">
                  <c:v>44719</c:v>
                </c:pt>
                <c:pt idx="66">
                  <c:v>44720</c:v>
                </c:pt>
                <c:pt idx="67">
                  <c:v>44721</c:v>
                </c:pt>
                <c:pt idx="68">
                  <c:v>44722</c:v>
                </c:pt>
                <c:pt idx="69">
                  <c:v>44723</c:v>
                </c:pt>
                <c:pt idx="70">
                  <c:v>44724</c:v>
                </c:pt>
                <c:pt idx="71">
                  <c:v>44725</c:v>
                </c:pt>
                <c:pt idx="72">
                  <c:v>44726</c:v>
                </c:pt>
                <c:pt idx="73">
                  <c:v>44727</c:v>
                </c:pt>
                <c:pt idx="74">
                  <c:v>44728</c:v>
                </c:pt>
                <c:pt idx="75">
                  <c:v>44729</c:v>
                </c:pt>
                <c:pt idx="76">
                  <c:v>44730</c:v>
                </c:pt>
                <c:pt idx="77">
                  <c:v>44731</c:v>
                </c:pt>
                <c:pt idx="78">
                  <c:v>44732</c:v>
                </c:pt>
                <c:pt idx="79">
                  <c:v>44733</c:v>
                </c:pt>
                <c:pt idx="80">
                  <c:v>44734</c:v>
                </c:pt>
                <c:pt idx="81">
                  <c:v>44735</c:v>
                </c:pt>
                <c:pt idx="82">
                  <c:v>44736</c:v>
                </c:pt>
                <c:pt idx="83">
                  <c:v>44737</c:v>
                </c:pt>
                <c:pt idx="84">
                  <c:v>44738</c:v>
                </c:pt>
                <c:pt idx="85">
                  <c:v>44739</c:v>
                </c:pt>
                <c:pt idx="86">
                  <c:v>44740</c:v>
                </c:pt>
                <c:pt idx="87">
                  <c:v>44741</c:v>
                </c:pt>
                <c:pt idx="88">
                  <c:v>44742</c:v>
                </c:pt>
                <c:pt idx="89">
                  <c:v>44743</c:v>
                </c:pt>
              </c:numCache>
            </c:numRef>
          </c:cat>
          <c:val>
            <c:numRef>
              <c:f>'Forecast Analysis'!$C$2:$C$91</c:f>
              <c:numCache>
                <c:formatCode>General</c:formatCode>
                <c:ptCount val="90"/>
                <c:pt idx="58" formatCode="&quot;$&quot;#,##0.00_);[Red]\(&quot;$&quot;#,##0.00\)">
                  <c:v>1944.08</c:v>
                </c:pt>
                <c:pt idx="59" formatCode="&quot;$&quot;#,##0.00_);[Red]\(&quot;$&quot;#,##0.00\)">
                  <c:v>1914.3477258912917</c:v>
                </c:pt>
                <c:pt idx="60" formatCode="&quot;$&quot;#,##0.00_);[Red]\(&quot;$&quot;#,##0.00\)">
                  <c:v>1884.6154517825835</c:v>
                </c:pt>
                <c:pt idx="61" formatCode="&quot;$&quot;#,##0.00_);[Red]\(&quot;$&quot;#,##0.00\)">
                  <c:v>1854.8831776738753</c:v>
                </c:pt>
                <c:pt idx="62" formatCode="&quot;$&quot;#,##0.00_);[Red]\(&quot;$&quot;#,##0.00\)">
                  <c:v>1825.150903565167</c:v>
                </c:pt>
                <c:pt idx="63" formatCode="&quot;$&quot;#,##0.00_);[Red]\(&quot;$&quot;#,##0.00\)">
                  <c:v>1795.4186294564588</c:v>
                </c:pt>
                <c:pt idx="64" formatCode="&quot;$&quot;#,##0.00_);[Red]\(&quot;$&quot;#,##0.00\)">
                  <c:v>1765.6863553477506</c:v>
                </c:pt>
                <c:pt idx="65" formatCode="&quot;$&quot;#,##0.00_);[Red]\(&quot;$&quot;#,##0.00\)">
                  <c:v>1735.9540812390424</c:v>
                </c:pt>
                <c:pt idx="66" formatCode="&quot;$&quot;#,##0.00_);[Red]\(&quot;$&quot;#,##0.00\)">
                  <c:v>1706.2218071303341</c:v>
                </c:pt>
                <c:pt idx="67" formatCode="&quot;$&quot;#,##0.00_);[Red]\(&quot;$&quot;#,##0.00\)">
                  <c:v>1676.4895330216259</c:v>
                </c:pt>
                <c:pt idx="68" formatCode="&quot;$&quot;#,##0.00_);[Red]\(&quot;$&quot;#,##0.00\)">
                  <c:v>1646.7572589129177</c:v>
                </c:pt>
                <c:pt idx="69" formatCode="&quot;$&quot;#,##0.00_);[Red]\(&quot;$&quot;#,##0.00\)">
                  <c:v>1617.0249848042095</c:v>
                </c:pt>
                <c:pt idx="70" formatCode="&quot;$&quot;#,##0.00_);[Red]\(&quot;$&quot;#,##0.00\)">
                  <c:v>1587.2927106955012</c:v>
                </c:pt>
                <c:pt idx="71" formatCode="&quot;$&quot;#,##0.00_);[Red]\(&quot;$&quot;#,##0.00\)">
                  <c:v>1557.560436586793</c:v>
                </c:pt>
                <c:pt idx="72" formatCode="&quot;$&quot;#,##0.00_);[Red]\(&quot;$&quot;#,##0.00\)">
                  <c:v>1527.8281624780848</c:v>
                </c:pt>
                <c:pt idx="73" formatCode="&quot;$&quot;#,##0.00_);[Red]\(&quot;$&quot;#,##0.00\)">
                  <c:v>1498.0958883693766</c:v>
                </c:pt>
                <c:pt idx="74" formatCode="&quot;$&quot;#,##0.00_);[Red]\(&quot;$&quot;#,##0.00\)">
                  <c:v>1468.3636142606683</c:v>
                </c:pt>
                <c:pt idx="75" formatCode="&quot;$&quot;#,##0.00_);[Red]\(&quot;$&quot;#,##0.00\)">
                  <c:v>1438.6313401519601</c:v>
                </c:pt>
                <c:pt idx="76" formatCode="&quot;$&quot;#,##0.00_);[Red]\(&quot;$&quot;#,##0.00\)">
                  <c:v>1408.8990660432519</c:v>
                </c:pt>
                <c:pt idx="77" formatCode="&quot;$&quot;#,##0.00_);[Red]\(&quot;$&quot;#,##0.00\)">
                  <c:v>1379.1667919345437</c:v>
                </c:pt>
                <c:pt idx="78" formatCode="&quot;$&quot;#,##0.00_);[Red]\(&quot;$&quot;#,##0.00\)">
                  <c:v>1349.4345178258354</c:v>
                </c:pt>
                <c:pt idx="79" formatCode="&quot;$&quot;#,##0.00_);[Red]\(&quot;$&quot;#,##0.00\)">
                  <c:v>1319.7022437171272</c:v>
                </c:pt>
                <c:pt idx="80" formatCode="&quot;$&quot;#,##0.00_);[Red]\(&quot;$&quot;#,##0.00\)">
                  <c:v>1289.969969608419</c:v>
                </c:pt>
                <c:pt idx="81" formatCode="&quot;$&quot;#,##0.00_);[Red]\(&quot;$&quot;#,##0.00\)">
                  <c:v>1260.2376954997108</c:v>
                </c:pt>
                <c:pt idx="82" formatCode="&quot;$&quot;#,##0.00_);[Red]\(&quot;$&quot;#,##0.00\)">
                  <c:v>1230.5054213910025</c:v>
                </c:pt>
                <c:pt idx="83" formatCode="&quot;$&quot;#,##0.00_);[Red]\(&quot;$&quot;#,##0.00\)">
                  <c:v>1200.7731472822943</c:v>
                </c:pt>
                <c:pt idx="84" formatCode="&quot;$&quot;#,##0.00_);[Red]\(&quot;$&quot;#,##0.00\)">
                  <c:v>1171.0408731735861</c:v>
                </c:pt>
                <c:pt idx="85" formatCode="&quot;$&quot;#,##0.00_);[Red]\(&quot;$&quot;#,##0.00\)">
                  <c:v>1141.3085990648779</c:v>
                </c:pt>
                <c:pt idx="86" formatCode="&quot;$&quot;#,##0.00_);[Red]\(&quot;$&quot;#,##0.00\)">
                  <c:v>1111.5763249561696</c:v>
                </c:pt>
                <c:pt idx="87" formatCode="&quot;$&quot;#,##0.00_);[Red]\(&quot;$&quot;#,##0.00\)">
                  <c:v>1081.8440508474614</c:v>
                </c:pt>
                <c:pt idx="88" formatCode="&quot;$&quot;#,##0.00_);[Red]\(&quot;$&quot;#,##0.00\)">
                  <c:v>1052.1117767387532</c:v>
                </c:pt>
                <c:pt idx="89" formatCode="&quot;$&quot;#,##0.00_);[Red]\(&quot;$&quot;#,##0.00\)">
                  <c:v>1022.379502630045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1-4B79-B2BB-F249E7EE6B69}"/>
            </c:ext>
          </c:extLst>
        </c:ser>
        <c:ser>
          <c:idx val="2"/>
          <c:order val="2"/>
          <c:tx>
            <c:strRef>
              <c:f>'Forecast Analysis'!$D$1</c:f>
              <c:strCache>
                <c:ptCount val="1"/>
                <c:pt idx="0">
                  <c:v>Lower Confidence Bound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Analysis'!$A$2:$A$91</c:f>
              <c:numCache>
                <c:formatCode>m/d/yyyy</c:formatCode>
                <c:ptCount val="90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  <c:pt idx="59">
                  <c:v>44713</c:v>
                </c:pt>
                <c:pt idx="60">
                  <c:v>44714</c:v>
                </c:pt>
                <c:pt idx="61">
                  <c:v>44715</c:v>
                </c:pt>
                <c:pt idx="62">
                  <c:v>44716</c:v>
                </c:pt>
                <c:pt idx="63">
                  <c:v>44717</c:v>
                </c:pt>
                <c:pt idx="64">
                  <c:v>44718</c:v>
                </c:pt>
                <c:pt idx="65">
                  <c:v>44719</c:v>
                </c:pt>
                <c:pt idx="66">
                  <c:v>44720</c:v>
                </c:pt>
                <c:pt idx="67">
                  <c:v>44721</c:v>
                </c:pt>
                <c:pt idx="68">
                  <c:v>44722</c:v>
                </c:pt>
                <c:pt idx="69">
                  <c:v>44723</c:v>
                </c:pt>
                <c:pt idx="70">
                  <c:v>44724</c:v>
                </c:pt>
                <c:pt idx="71">
                  <c:v>44725</c:v>
                </c:pt>
                <c:pt idx="72">
                  <c:v>44726</c:v>
                </c:pt>
                <c:pt idx="73">
                  <c:v>44727</c:v>
                </c:pt>
                <c:pt idx="74">
                  <c:v>44728</c:v>
                </c:pt>
                <c:pt idx="75">
                  <c:v>44729</c:v>
                </c:pt>
                <c:pt idx="76">
                  <c:v>44730</c:v>
                </c:pt>
                <c:pt idx="77">
                  <c:v>44731</c:v>
                </c:pt>
                <c:pt idx="78">
                  <c:v>44732</c:v>
                </c:pt>
                <c:pt idx="79">
                  <c:v>44733</c:v>
                </c:pt>
                <c:pt idx="80">
                  <c:v>44734</c:v>
                </c:pt>
                <c:pt idx="81">
                  <c:v>44735</c:v>
                </c:pt>
                <c:pt idx="82">
                  <c:v>44736</c:v>
                </c:pt>
                <c:pt idx="83">
                  <c:v>44737</c:v>
                </c:pt>
                <c:pt idx="84">
                  <c:v>44738</c:v>
                </c:pt>
                <c:pt idx="85">
                  <c:v>44739</c:v>
                </c:pt>
                <c:pt idx="86">
                  <c:v>44740</c:v>
                </c:pt>
                <c:pt idx="87">
                  <c:v>44741</c:v>
                </c:pt>
                <c:pt idx="88">
                  <c:v>44742</c:v>
                </c:pt>
                <c:pt idx="89">
                  <c:v>44743</c:v>
                </c:pt>
              </c:numCache>
            </c:numRef>
          </c:cat>
          <c:val>
            <c:numRef>
              <c:f>'Forecast Analysis'!$D$2:$D$91</c:f>
              <c:numCache>
                <c:formatCode>General</c:formatCode>
                <c:ptCount val="90"/>
                <c:pt idx="58" formatCode="&quot;$&quot;#,##0.00_);[Red]\(&quot;$&quot;#,##0.00\)">
                  <c:v>1944.08</c:v>
                </c:pt>
                <c:pt idx="59" formatCode="&quot;$&quot;#,##0.00_);[Red]\(&quot;$&quot;#,##0.00\)">
                  <c:v>1705.5261037650439</c:v>
                </c:pt>
                <c:pt idx="60" formatCode="&quot;$&quot;#,##0.00_);[Red]\(&quot;$&quot;#,##0.00\)">
                  <c:v>1633.5271642861806</c:v>
                </c:pt>
                <c:pt idx="61" formatCode="&quot;$&quot;#,##0.00_);[Red]\(&quot;$&quot;#,##0.00\)">
                  <c:v>1567.5811429149494</c:v>
                </c:pt>
                <c:pt idx="62" formatCode="&quot;$&quot;#,##0.00_);[Red]\(&quot;$&quot;#,##0.00\)">
                  <c:v>1505.6232048337342</c:v>
                </c:pt>
                <c:pt idx="63" formatCode="&quot;$&quot;#,##0.00_);[Red]\(&quot;$&quot;#,##0.00\)">
                  <c:v>1446.546319619787</c:v>
                </c:pt>
                <c:pt idx="64" formatCode="&quot;$&quot;#,##0.00_);[Red]\(&quot;$&quot;#,##0.00\)">
                  <c:v>1389.6752367195013</c:v>
                </c:pt>
                <c:pt idx="65" formatCode="&quot;$&quot;#,##0.00_);[Red]\(&quot;$&quot;#,##0.00\)">
                  <c:v>1334.5621832722015</c:v>
                </c:pt>
                <c:pt idx="66" formatCode="&quot;$&quot;#,##0.00_);[Red]\(&quot;$&quot;#,##0.00\)">
                  <c:v>1280.8922184020391</c:v>
                </c:pt>
                <c:pt idx="67" formatCode="&quot;$&quot;#,##0.00_);[Red]\(&quot;$&quot;#,##0.00\)">
                  <c:v>1228.4338909099783</c:v>
                </c:pt>
                <c:pt idx="68" formatCode="&quot;$&quot;#,##0.00_);[Red]\(&quot;$&quot;#,##0.00\)">
                  <c:v>1177.0112199649955</c:v>
                </c:pt>
                <c:pt idx="69" formatCode="&quot;$&quot;#,##0.00_);[Red]\(&quot;$&quot;#,##0.00\)">
                  <c:v>1126.4867148412363</c:v>
                </c:pt>
                <c:pt idx="70" formatCode="&quot;$&quot;#,##0.00_);[Red]\(&quot;$&quot;#,##0.00\)">
                  <c:v>1076.7505427857077</c:v>
                </c:pt>
                <c:pt idx="71" formatCode="&quot;$&quot;#,##0.00_);[Red]\(&quot;$&quot;#,##0.00\)">
                  <c:v>1027.7133255561689</c:v>
                </c:pt>
                <c:pt idx="72" formatCode="&quot;$&quot;#,##0.00_);[Red]\(&quot;$&quot;#,##0.00\)">
                  <c:v>979.30118130796427</c:v>
                </c:pt>
                <c:pt idx="73" formatCode="&quot;$&quot;#,##0.00_);[Red]\(&quot;$&quot;#,##0.00\)">
                  <c:v>931.45221158537356</c:v>
                </c:pt>
                <c:pt idx="74" formatCode="&quot;$&quot;#,##0.00_);[Red]\(&quot;$&quot;#,##0.00\)">
                  <c:v>884.11394983329183</c:v>
                </c:pt>
                <c:pt idx="75" formatCode="&quot;$&quot;#,##0.00_);[Red]\(&quot;$&quot;#,##0.00\)">
                  <c:v>837.24146817441294</c:v>
                </c:pt>
                <c:pt idx="76" formatCode="&quot;$&quot;#,##0.00_);[Red]\(&quot;$&quot;#,##0.00\)">
                  <c:v>790.79594612454537</c:v>
                </c:pt>
                <c:pt idx="77" formatCode="&quot;$&quot;#,##0.00_);[Red]\(&quot;$&quot;#,##0.00\)">
                  <c:v>744.74357057151155</c:v>
                </c:pt>
                <c:pt idx="78" formatCode="&quot;$&quot;#,##0.00_);[Red]\(&quot;$&quot;#,##0.00\)">
                  <c:v>699.05467789817112</c:v>
                </c:pt>
                <c:pt idx="79" formatCode="&quot;$&quot;#,##0.00_);[Red]\(&quot;$&quot;#,##0.00\)">
                  <c:v>653.70307614614546</c:v>
                </c:pt>
                <c:pt idx="80" formatCode="&quot;$&quot;#,##0.00_);[Red]\(&quot;$&quot;#,##0.00\)">
                  <c:v>608.66550310294701</c:v>
                </c:pt>
                <c:pt idx="81" formatCode="&quot;$&quot;#,##0.00_);[Red]\(&quot;$&quot;#,##0.00\)">
                  <c:v>563.92118842662023</c:v>
                </c:pt>
                <c:pt idx="82" formatCode="&quot;$&quot;#,##0.00_);[Red]\(&quot;$&quot;#,##0.00\)">
                  <c:v>519.45149640030877</c:v>
                </c:pt>
                <c:pt idx="83" formatCode="&quot;$&quot;#,##0.00_);[Red]\(&quot;$&quot;#,##0.00\)">
                  <c:v>475.23963188838013</c:v>
                </c:pt>
                <c:pt idx="84" formatCode="&quot;$&quot;#,##0.00_);[Red]\(&quot;$&quot;#,##0.00\)">
                  <c:v>431.27039634922085</c:v>
                </c:pt>
                <c:pt idx="85" formatCode="&quot;$&quot;#,##0.00_);[Red]\(&quot;$&quot;#,##0.00\)">
                  <c:v>387.52998387278853</c:v>
                </c:pt>
                <c:pt idx="86" formatCode="&quot;$&quot;#,##0.00_);[Red]\(&quot;$&quot;#,##0.00\)">
                  <c:v>344.00580950325286</c:v>
                </c:pt>
                <c:pt idx="87" formatCode="&quot;$&quot;#,##0.00_);[Red]\(&quot;$&quot;#,##0.00\)">
                  <c:v>300.68636381548606</c:v>
                </c:pt>
                <c:pt idx="88" formatCode="&quot;$&quot;#,##0.00_);[Red]\(&quot;$&quot;#,##0.00\)">
                  <c:v>257.56108900177105</c:v>
                </c:pt>
                <c:pt idx="89" formatCode="&quot;$&quot;#,##0.00_);[Red]\(&quot;$&quot;#,##0.00\)">
                  <c:v>214.62027270562385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B1-4B79-B2BB-F249E7EE6B69}"/>
            </c:ext>
          </c:extLst>
        </c:ser>
        <c:ser>
          <c:idx val="3"/>
          <c:order val="3"/>
          <c:tx>
            <c:strRef>
              <c:f>'Forecast Analysis'!$E$1</c:f>
              <c:strCache>
                <c:ptCount val="1"/>
                <c:pt idx="0">
                  <c:v>Upper Confidence Bound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 Analysis'!$A$2:$A$91</c:f>
              <c:numCache>
                <c:formatCode>m/d/yyyy</c:formatCode>
                <c:ptCount val="90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  <c:pt idx="59">
                  <c:v>44713</c:v>
                </c:pt>
                <c:pt idx="60">
                  <c:v>44714</c:v>
                </c:pt>
                <c:pt idx="61">
                  <c:v>44715</c:v>
                </c:pt>
                <c:pt idx="62">
                  <c:v>44716</c:v>
                </c:pt>
                <c:pt idx="63">
                  <c:v>44717</c:v>
                </c:pt>
                <c:pt idx="64">
                  <c:v>44718</c:v>
                </c:pt>
                <c:pt idx="65">
                  <c:v>44719</c:v>
                </c:pt>
                <c:pt idx="66">
                  <c:v>44720</c:v>
                </c:pt>
                <c:pt idx="67">
                  <c:v>44721</c:v>
                </c:pt>
                <c:pt idx="68">
                  <c:v>44722</c:v>
                </c:pt>
                <c:pt idx="69">
                  <c:v>44723</c:v>
                </c:pt>
                <c:pt idx="70">
                  <c:v>44724</c:v>
                </c:pt>
                <c:pt idx="71">
                  <c:v>44725</c:v>
                </c:pt>
                <c:pt idx="72">
                  <c:v>44726</c:v>
                </c:pt>
                <c:pt idx="73">
                  <c:v>44727</c:v>
                </c:pt>
                <c:pt idx="74">
                  <c:v>44728</c:v>
                </c:pt>
                <c:pt idx="75">
                  <c:v>44729</c:v>
                </c:pt>
                <c:pt idx="76">
                  <c:v>44730</c:v>
                </c:pt>
                <c:pt idx="77">
                  <c:v>44731</c:v>
                </c:pt>
                <c:pt idx="78">
                  <c:v>44732</c:v>
                </c:pt>
                <c:pt idx="79">
                  <c:v>44733</c:v>
                </c:pt>
                <c:pt idx="80">
                  <c:v>44734</c:v>
                </c:pt>
                <c:pt idx="81">
                  <c:v>44735</c:v>
                </c:pt>
                <c:pt idx="82">
                  <c:v>44736</c:v>
                </c:pt>
                <c:pt idx="83">
                  <c:v>44737</c:v>
                </c:pt>
                <c:pt idx="84">
                  <c:v>44738</c:v>
                </c:pt>
                <c:pt idx="85">
                  <c:v>44739</c:v>
                </c:pt>
                <c:pt idx="86">
                  <c:v>44740</c:v>
                </c:pt>
                <c:pt idx="87">
                  <c:v>44741</c:v>
                </c:pt>
                <c:pt idx="88">
                  <c:v>44742</c:v>
                </c:pt>
                <c:pt idx="89">
                  <c:v>44743</c:v>
                </c:pt>
              </c:numCache>
            </c:numRef>
          </c:cat>
          <c:val>
            <c:numRef>
              <c:f>'Forecast Analysis'!$E$2:$E$91</c:f>
              <c:numCache>
                <c:formatCode>General</c:formatCode>
                <c:ptCount val="90"/>
                <c:pt idx="58" formatCode="&quot;$&quot;#,##0.00_);[Red]\(&quot;$&quot;#,##0.00\)">
                  <c:v>1944.08</c:v>
                </c:pt>
                <c:pt idx="59" formatCode="&quot;$&quot;#,##0.00_);[Red]\(&quot;$&quot;#,##0.00\)">
                  <c:v>2123.1693480175395</c:v>
                </c:pt>
                <c:pt idx="60" formatCode="&quot;$&quot;#,##0.00_);[Red]\(&quot;$&quot;#,##0.00\)">
                  <c:v>2135.7037392789862</c:v>
                </c:pt>
                <c:pt idx="61" formatCode="&quot;$&quot;#,##0.00_);[Red]\(&quot;$&quot;#,##0.00\)">
                  <c:v>2142.1852124328011</c:v>
                </c:pt>
                <c:pt idx="62" formatCode="&quot;$&quot;#,##0.00_);[Red]\(&quot;$&quot;#,##0.00\)">
                  <c:v>2144.6786022965998</c:v>
                </c:pt>
                <c:pt idx="63" formatCode="&quot;$&quot;#,##0.00_);[Red]\(&quot;$&quot;#,##0.00\)">
                  <c:v>2144.2909392931306</c:v>
                </c:pt>
                <c:pt idx="64" formatCode="&quot;$&quot;#,##0.00_);[Red]\(&quot;$&quot;#,##0.00\)">
                  <c:v>2141.6974739759999</c:v>
                </c:pt>
                <c:pt idx="65" formatCode="&quot;$&quot;#,##0.00_);[Red]\(&quot;$&quot;#,##0.00\)">
                  <c:v>2137.3459792058834</c:v>
                </c:pt>
                <c:pt idx="66" formatCode="&quot;$&quot;#,##0.00_);[Red]\(&quot;$&quot;#,##0.00\)">
                  <c:v>2131.5513958586293</c:v>
                </c:pt>
                <c:pt idx="67" formatCode="&quot;$&quot;#,##0.00_);[Red]\(&quot;$&quot;#,##0.00\)">
                  <c:v>2124.5451751332735</c:v>
                </c:pt>
                <c:pt idx="68" formatCode="&quot;$&quot;#,##0.00_);[Red]\(&quot;$&quot;#,##0.00\)">
                  <c:v>2116.5032978608401</c:v>
                </c:pt>
                <c:pt idx="69" formatCode="&quot;$&quot;#,##0.00_);[Red]\(&quot;$&quot;#,##0.00\)">
                  <c:v>2107.5632547671826</c:v>
                </c:pt>
                <c:pt idx="70" formatCode="&quot;$&quot;#,##0.00_);[Red]\(&quot;$&quot;#,##0.00\)">
                  <c:v>2097.8348786052948</c:v>
                </c:pt>
                <c:pt idx="71" formatCode="&quot;$&quot;#,##0.00_);[Red]\(&quot;$&quot;#,##0.00\)">
                  <c:v>2087.4075476174171</c:v>
                </c:pt>
                <c:pt idx="72" formatCode="&quot;$&quot;#,##0.00_);[Red]\(&quot;$&quot;#,##0.00\)">
                  <c:v>2076.3551436482053</c:v>
                </c:pt>
                <c:pt idx="73" formatCode="&quot;$&quot;#,##0.00_);[Red]\(&quot;$&quot;#,##0.00\)">
                  <c:v>2064.7395651533798</c:v>
                </c:pt>
                <c:pt idx="74" formatCode="&quot;$&quot;#,##0.00_);[Red]\(&quot;$&quot;#,##0.00\)">
                  <c:v>2052.6132786880448</c:v>
                </c:pt>
                <c:pt idx="75" formatCode="&quot;$&quot;#,##0.00_);[Red]\(&quot;$&quot;#,##0.00\)">
                  <c:v>2040.0212121295071</c:v>
                </c:pt>
                <c:pt idx="76" formatCode="&quot;$&quot;#,##0.00_);[Red]\(&quot;$&quot;#,##0.00\)">
                  <c:v>2027.0021859619583</c:v>
                </c:pt>
                <c:pt idx="77" formatCode="&quot;$&quot;#,##0.00_);[Red]\(&quot;$&quot;#,##0.00\)">
                  <c:v>2013.5900132975758</c:v>
                </c:pt>
                <c:pt idx="78" formatCode="&quot;$&quot;#,##0.00_);[Red]\(&quot;$&quot;#,##0.00\)">
                  <c:v>1999.8143577534997</c:v>
                </c:pt>
                <c:pt idx="79" formatCode="&quot;$&quot;#,##0.00_);[Red]\(&quot;$&quot;#,##0.00\)">
                  <c:v>1985.7014112881088</c:v>
                </c:pt>
                <c:pt idx="80" formatCode="&quot;$&quot;#,##0.00_);[Red]\(&quot;$&quot;#,##0.00\)">
                  <c:v>1971.2744361138909</c:v>
                </c:pt>
                <c:pt idx="81" formatCode="&quot;$&quot;#,##0.00_);[Red]\(&quot;$&quot;#,##0.00\)">
                  <c:v>1956.5542025728014</c:v>
                </c:pt>
                <c:pt idx="82" formatCode="&quot;$&quot;#,##0.00_);[Red]\(&quot;$&quot;#,##0.00\)">
                  <c:v>1941.5593463816963</c:v>
                </c:pt>
                <c:pt idx="83" formatCode="&quot;$&quot;#,##0.00_);[Red]\(&quot;$&quot;#,##0.00\)">
                  <c:v>1926.3066626762084</c:v>
                </c:pt>
                <c:pt idx="84" formatCode="&quot;$&quot;#,##0.00_);[Red]\(&quot;$&quot;#,##0.00\)">
                  <c:v>1910.8113499979513</c:v>
                </c:pt>
                <c:pt idx="85" formatCode="&quot;$&quot;#,##0.00_);[Red]\(&quot;$&quot;#,##0.00\)">
                  <c:v>1895.0872142569672</c:v>
                </c:pt>
                <c:pt idx="86" formatCode="&quot;$&quot;#,##0.00_);[Red]\(&quot;$&quot;#,##0.00\)">
                  <c:v>1879.1468404090865</c:v>
                </c:pt>
                <c:pt idx="87" formatCode="&quot;$&quot;#,##0.00_);[Red]\(&quot;$&quot;#,##0.00\)">
                  <c:v>1863.0017378794369</c:v>
                </c:pt>
                <c:pt idx="88" formatCode="&quot;$&quot;#,##0.00_);[Red]\(&quot;$&quot;#,##0.00\)">
                  <c:v>1846.6624644757353</c:v>
                </c:pt>
                <c:pt idx="89" formatCode="&quot;$&quot;#,##0.00_);[Red]\(&quot;$&quot;#,##0.00\)">
                  <c:v>1830.1387325544661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B1-4B79-B2BB-F249E7EE6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967608"/>
        <c:axId val="530964328"/>
      </c:lineChart>
      <c:catAx>
        <c:axId val="53096760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64328"/>
        <c:crosses val="autoZero"/>
        <c:auto val="1"/>
        <c:lblAlgn val="ctr"/>
        <c:lblOffset val="100"/>
        <c:noMultiLvlLbl val="0"/>
      </c:catAx>
      <c:valAx>
        <c:axId val="53096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6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ETH Price &amp; Volume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'Detailed Analysis'!$E$1</c:f>
              <c:strCache>
                <c:ptCount val="1"/>
                <c:pt idx="0">
                  <c:v>Closing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'Detailed Analysis'!$A$2:$A$60</c:f>
              <c:numCache>
                <c:formatCode>m/d/yyyy</c:formatCode>
                <c:ptCount val="59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</c:numCache>
            </c:numRef>
          </c:cat>
          <c:val>
            <c:numRef>
              <c:f>'Detailed Analysis'!$E$2:$E$60</c:f>
              <c:numCache>
                <c:formatCode>"$"#,##0</c:formatCode>
                <c:ptCount val="59"/>
                <c:pt idx="0">
                  <c:v>3521.58</c:v>
                </c:pt>
                <c:pt idx="1">
                  <c:v>3520.97</c:v>
                </c:pt>
                <c:pt idx="2">
                  <c:v>3422.97</c:v>
                </c:pt>
                <c:pt idx="3">
                  <c:v>3171.37</c:v>
                </c:pt>
                <c:pt idx="4">
                  <c:v>3232.83</c:v>
                </c:pt>
                <c:pt idx="5">
                  <c:v>3192.03</c:v>
                </c:pt>
                <c:pt idx="6">
                  <c:v>3265.94</c:v>
                </c:pt>
                <c:pt idx="7">
                  <c:v>3219.16</c:v>
                </c:pt>
                <c:pt idx="8">
                  <c:v>2992.7</c:v>
                </c:pt>
                <c:pt idx="9">
                  <c:v>3038.21</c:v>
                </c:pt>
                <c:pt idx="10">
                  <c:v>3121.4</c:v>
                </c:pt>
                <c:pt idx="11">
                  <c:v>3023.42</c:v>
                </c:pt>
                <c:pt idx="12">
                  <c:v>3045.43</c:v>
                </c:pt>
                <c:pt idx="13">
                  <c:v>3066.36</c:v>
                </c:pt>
                <c:pt idx="14">
                  <c:v>2995.72</c:v>
                </c:pt>
                <c:pt idx="15">
                  <c:v>3061.89</c:v>
                </c:pt>
                <c:pt idx="16">
                  <c:v>3104.69</c:v>
                </c:pt>
                <c:pt idx="17">
                  <c:v>3079.68</c:v>
                </c:pt>
                <c:pt idx="18">
                  <c:v>2987.49</c:v>
                </c:pt>
                <c:pt idx="19">
                  <c:v>2967.09</c:v>
                </c:pt>
                <c:pt idx="20">
                  <c:v>2940.69</c:v>
                </c:pt>
                <c:pt idx="21">
                  <c:v>2922.9</c:v>
                </c:pt>
                <c:pt idx="22">
                  <c:v>3008.34</c:v>
                </c:pt>
                <c:pt idx="23">
                  <c:v>2806.75</c:v>
                </c:pt>
                <c:pt idx="24">
                  <c:v>2889.59</c:v>
                </c:pt>
                <c:pt idx="25">
                  <c:v>2932.46</c:v>
                </c:pt>
                <c:pt idx="26">
                  <c:v>2817.49</c:v>
                </c:pt>
                <c:pt idx="27">
                  <c:v>2738.17</c:v>
                </c:pt>
                <c:pt idx="28">
                  <c:v>2832.51</c:v>
                </c:pt>
                <c:pt idx="29">
                  <c:v>2861.37</c:v>
                </c:pt>
                <c:pt idx="30">
                  <c:v>2786.05</c:v>
                </c:pt>
                <c:pt idx="31">
                  <c:v>2942.05</c:v>
                </c:pt>
                <c:pt idx="32">
                  <c:v>2753.94</c:v>
                </c:pt>
                <c:pt idx="33">
                  <c:v>2699.71</c:v>
                </c:pt>
                <c:pt idx="34">
                  <c:v>2641.23</c:v>
                </c:pt>
                <c:pt idx="35">
                  <c:v>2517.83</c:v>
                </c:pt>
                <c:pt idx="36">
                  <c:v>2249.89</c:v>
                </c:pt>
                <c:pt idx="37">
                  <c:v>2344.8000000000002</c:v>
                </c:pt>
                <c:pt idx="38">
                  <c:v>2080.91</c:v>
                </c:pt>
                <c:pt idx="39">
                  <c:v>1966.7</c:v>
                </c:pt>
                <c:pt idx="40">
                  <c:v>2010.21</c:v>
                </c:pt>
                <c:pt idx="41">
                  <c:v>2064.23</c:v>
                </c:pt>
                <c:pt idx="42">
                  <c:v>2147.0500000000002</c:v>
                </c:pt>
                <c:pt idx="43">
                  <c:v>2025.89</c:v>
                </c:pt>
                <c:pt idx="44">
                  <c:v>2095.1799999999998</c:v>
                </c:pt>
                <c:pt idx="45">
                  <c:v>1915.18</c:v>
                </c:pt>
                <c:pt idx="46">
                  <c:v>2023.85</c:v>
                </c:pt>
                <c:pt idx="47">
                  <c:v>1963.99</c:v>
                </c:pt>
                <c:pt idx="48">
                  <c:v>1978.15</c:v>
                </c:pt>
                <c:pt idx="49">
                  <c:v>2046.65</c:v>
                </c:pt>
                <c:pt idx="50">
                  <c:v>1974.58</c:v>
                </c:pt>
                <c:pt idx="51">
                  <c:v>1979.77</c:v>
                </c:pt>
                <c:pt idx="52">
                  <c:v>1944.84</c:v>
                </c:pt>
                <c:pt idx="53">
                  <c:v>1807.97</c:v>
                </c:pt>
                <c:pt idx="54">
                  <c:v>1724.88</c:v>
                </c:pt>
                <c:pt idx="55">
                  <c:v>1798.69</c:v>
                </c:pt>
                <c:pt idx="56">
                  <c:v>1814.98</c:v>
                </c:pt>
                <c:pt idx="57">
                  <c:v>1995.94</c:v>
                </c:pt>
                <c:pt idx="58">
                  <c:v>1944.08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F7-45D2-8CB6-0D8F8E664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2552"/>
        <c:axId val="502596648"/>
      </c:lineChart>
      <c:lineChart>
        <c:grouping val="standard"/>
        <c:varyColors val="0"/>
        <c:ser>
          <c:idx val="0"/>
          <c:order val="0"/>
          <c:tx>
            <c:strRef>
              <c:f>'Detailed Analysis'!$C$1</c:f>
              <c:strCache>
                <c:ptCount val="1"/>
                <c:pt idx="0">
                  <c:v>Volume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'Detailed Analysis'!$A$2:$A$60</c:f>
              <c:numCache>
                <c:formatCode>m/d/yyyy</c:formatCode>
                <c:ptCount val="59"/>
                <c:pt idx="0">
                  <c:v>44654</c:v>
                </c:pt>
                <c:pt idx="1">
                  <c:v>44655</c:v>
                </c:pt>
                <c:pt idx="2">
                  <c:v>44656</c:v>
                </c:pt>
                <c:pt idx="3">
                  <c:v>44657</c:v>
                </c:pt>
                <c:pt idx="4">
                  <c:v>44658</c:v>
                </c:pt>
                <c:pt idx="5">
                  <c:v>44659</c:v>
                </c:pt>
                <c:pt idx="6">
                  <c:v>44660</c:v>
                </c:pt>
                <c:pt idx="7">
                  <c:v>44661</c:v>
                </c:pt>
                <c:pt idx="8">
                  <c:v>44662</c:v>
                </c:pt>
                <c:pt idx="9">
                  <c:v>44663</c:v>
                </c:pt>
                <c:pt idx="10">
                  <c:v>44664</c:v>
                </c:pt>
                <c:pt idx="11">
                  <c:v>44665</c:v>
                </c:pt>
                <c:pt idx="12">
                  <c:v>44666</c:v>
                </c:pt>
                <c:pt idx="13">
                  <c:v>44667</c:v>
                </c:pt>
                <c:pt idx="14">
                  <c:v>44668</c:v>
                </c:pt>
                <c:pt idx="15">
                  <c:v>44669</c:v>
                </c:pt>
                <c:pt idx="16">
                  <c:v>44670</c:v>
                </c:pt>
                <c:pt idx="17">
                  <c:v>44671</c:v>
                </c:pt>
                <c:pt idx="18">
                  <c:v>44672</c:v>
                </c:pt>
                <c:pt idx="19">
                  <c:v>44673</c:v>
                </c:pt>
                <c:pt idx="20">
                  <c:v>44674</c:v>
                </c:pt>
                <c:pt idx="21">
                  <c:v>44675</c:v>
                </c:pt>
                <c:pt idx="22">
                  <c:v>44676</c:v>
                </c:pt>
                <c:pt idx="23">
                  <c:v>44677</c:v>
                </c:pt>
                <c:pt idx="24">
                  <c:v>44678</c:v>
                </c:pt>
                <c:pt idx="25">
                  <c:v>44679</c:v>
                </c:pt>
                <c:pt idx="26">
                  <c:v>44680</c:v>
                </c:pt>
                <c:pt idx="27">
                  <c:v>44681</c:v>
                </c:pt>
                <c:pt idx="28">
                  <c:v>44682</c:v>
                </c:pt>
                <c:pt idx="29">
                  <c:v>44683</c:v>
                </c:pt>
                <c:pt idx="30">
                  <c:v>44684</c:v>
                </c:pt>
                <c:pt idx="31">
                  <c:v>44685</c:v>
                </c:pt>
                <c:pt idx="32">
                  <c:v>44686</c:v>
                </c:pt>
                <c:pt idx="33">
                  <c:v>44687</c:v>
                </c:pt>
                <c:pt idx="34">
                  <c:v>44688</c:v>
                </c:pt>
                <c:pt idx="35">
                  <c:v>44689</c:v>
                </c:pt>
                <c:pt idx="36">
                  <c:v>44690</c:v>
                </c:pt>
                <c:pt idx="37">
                  <c:v>44691</c:v>
                </c:pt>
                <c:pt idx="38">
                  <c:v>44692</c:v>
                </c:pt>
                <c:pt idx="39">
                  <c:v>44693</c:v>
                </c:pt>
                <c:pt idx="40">
                  <c:v>44694</c:v>
                </c:pt>
                <c:pt idx="41">
                  <c:v>44695</c:v>
                </c:pt>
                <c:pt idx="42">
                  <c:v>44696</c:v>
                </c:pt>
                <c:pt idx="43">
                  <c:v>44697</c:v>
                </c:pt>
                <c:pt idx="44">
                  <c:v>44698</c:v>
                </c:pt>
                <c:pt idx="45">
                  <c:v>44699</c:v>
                </c:pt>
                <c:pt idx="46">
                  <c:v>44700</c:v>
                </c:pt>
                <c:pt idx="47">
                  <c:v>44701</c:v>
                </c:pt>
                <c:pt idx="48">
                  <c:v>44702</c:v>
                </c:pt>
                <c:pt idx="49">
                  <c:v>44703</c:v>
                </c:pt>
                <c:pt idx="50">
                  <c:v>44704</c:v>
                </c:pt>
                <c:pt idx="51">
                  <c:v>44705</c:v>
                </c:pt>
                <c:pt idx="52">
                  <c:v>44706</c:v>
                </c:pt>
                <c:pt idx="53">
                  <c:v>44707</c:v>
                </c:pt>
                <c:pt idx="54">
                  <c:v>44708</c:v>
                </c:pt>
                <c:pt idx="55">
                  <c:v>44709</c:v>
                </c:pt>
                <c:pt idx="56">
                  <c:v>44710</c:v>
                </c:pt>
                <c:pt idx="57">
                  <c:v>44711</c:v>
                </c:pt>
                <c:pt idx="58">
                  <c:v>44712</c:v>
                </c:pt>
              </c:numCache>
            </c:numRef>
          </c:cat>
          <c:val>
            <c:numRef>
              <c:f>'Detailed Analysis'!$C$2:$C$60</c:f>
              <c:numCache>
                <c:formatCode>"$"#,##0</c:formatCode>
                <c:ptCount val="59"/>
                <c:pt idx="0">
                  <c:v>22091140765</c:v>
                </c:pt>
                <c:pt idx="1">
                  <c:v>14019828281</c:v>
                </c:pt>
                <c:pt idx="2">
                  <c:v>16925919014</c:v>
                </c:pt>
                <c:pt idx="3">
                  <c:v>15114055502</c:v>
                </c:pt>
                <c:pt idx="4">
                  <c:v>26109763335</c:v>
                </c:pt>
                <c:pt idx="5">
                  <c:v>16149775915</c:v>
                </c:pt>
                <c:pt idx="6">
                  <c:v>17523939555</c:v>
                </c:pt>
                <c:pt idx="7">
                  <c:v>9316769844</c:v>
                </c:pt>
                <c:pt idx="8">
                  <c:v>10005373137</c:v>
                </c:pt>
                <c:pt idx="9">
                  <c:v>21142997360</c:v>
                </c:pt>
                <c:pt idx="10">
                  <c:v>18977679664</c:v>
                </c:pt>
                <c:pt idx="11">
                  <c:v>15452917855</c:v>
                </c:pt>
                <c:pt idx="12">
                  <c:v>15895586505</c:v>
                </c:pt>
                <c:pt idx="13">
                  <c:v>12543243551</c:v>
                </c:pt>
                <c:pt idx="14">
                  <c:v>9063939048</c:v>
                </c:pt>
                <c:pt idx="15">
                  <c:v>9543306566</c:v>
                </c:pt>
                <c:pt idx="16">
                  <c:v>18188817400</c:v>
                </c:pt>
                <c:pt idx="17">
                  <c:v>13472639207</c:v>
                </c:pt>
                <c:pt idx="18">
                  <c:v>15155965878</c:v>
                </c:pt>
                <c:pt idx="19">
                  <c:v>20529419340</c:v>
                </c:pt>
                <c:pt idx="20">
                  <c:v>16155619719</c:v>
                </c:pt>
                <c:pt idx="21">
                  <c:v>8633203958</c:v>
                </c:pt>
                <c:pt idx="22">
                  <c:v>9196851418</c:v>
                </c:pt>
                <c:pt idx="23">
                  <c:v>22037549639</c:v>
                </c:pt>
                <c:pt idx="24">
                  <c:v>17750798289</c:v>
                </c:pt>
                <c:pt idx="25">
                  <c:v>17036298769</c:v>
                </c:pt>
                <c:pt idx="26">
                  <c:v>18249410920</c:v>
                </c:pt>
                <c:pt idx="27">
                  <c:v>17902735174</c:v>
                </c:pt>
                <c:pt idx="28">
                  <c:v>12618462103</c:v>
                </c:pt>
                <c:pt idx="29">
                  <c:v>14489173445</c:v>
                </c:pt>
                <c:pt idx="30">
                  <c:v>17701813871</c:v>
                </c:pt>
                <c:pt idx="31">
                  <c:v>12836324478</c:v>
                </c:pt>
                <c:pt idx="32">
                  <c:v>17336934450</c:v>
                </c:pt>
                <c:pt idx="33">
                  <c:v>20868783133</c:v>
                </c:pt>
                <c:pt idx="34">
                  <c:v>20516541977</c:v>
                </c:pt>
                <c:pt idx="35">
                  <c:v>12528069434</c:v>
                </c:pt>
                <c:pt idx="36">
                  <c:v>20582973186</c:v>
                </c:pt>
                <c:pt idx="37">
                  <c:v>34392685562</c:v>
                </c:pt>
                <c:pt idx="38">
                  <c:v>36844564808</c:v>
                </c:pt>
                <c:pt idx="39">
                  <c:v>46548009611</c:v>
                </c:pt>
                <c:pt idx="40">
                  <c:v>41621733327</c:v>
                </c:pt>
                <c:pt idx="41">
                  <c:v>23979529161</c:v>
                </c:pt>
                <c:pt idx="42">
                  <c:v>14395772635</c:v>
                </c:pt>
                <c:pt idx="43">
                  <c:v>14395455889</c:v>
                </c:pt>
                <c:pt idx="44">
                  <c:v>20068743682</c:v>
                </c:pt>
                <c:pt idx="45">
                  <c:v>17005002529</c:v>
                </c:pt>
                <c:pt idx="46">
                  <c:v>15892119501</c:v>
                </c:pt>
                <c:pt idx="47">
                  <c:v>17828306699</c:v>
                </c:pt>
                <c:pt idx="48">
                  <c:v>14638100163</c:v>
                </c:pt>
                <c:pt idx="49">
                  <c:v>7551508571</c:v>
                </c:pt>
                <c:pt idx="50">
                  <c:v>9623174528</c:v>
                </c:pt>
                <c:pt idx="51">
                  <c:v>14627311158</c:v>
                </c:pt>
                <c:pt idx="52">
                  <c:v>12880481568</c:v>
                </c:pt>
                <c:pt idx="53">
                  <c:v>12554611854</c:v>
                </c:pt>
                <c:pt idx="54">
                  <c:v>22669347247</c:v>
                </c:pt>
                <c:pt idx="55">
                  <c:v>24344535949</c:v>
                </c:pt>
                <c:pt idx="56">
                  <c:v>12004308559</c:v>
                </c:pt>
                <c:pt idx="57">
                  <c:v>9767849361</c:v>
                </c:pt>
                <c:pt idx="58">
                  <c:v>18803016950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7-45D2-8CB6-0D8F8E664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36048"/>
        <c:axId val="493138672"/>
      </c:lineChart>
      <c:dateAx>
        <c:axId val="502602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96648"/>
        <c:crosses val="autoZero"/>
        <c:auto val="1"/>
        <c:lblOffset val="100"/>
        <c:baseTimeUnit val="days"/>
      </c:dateAx>
      <c:valAx>
        <c:axId val="50259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ETH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02552"/>
        <c:crosses val="autoZero"/>
        <c:crossBetween val="between"/>
      </c:valAx>
      <c:valAx>
        <c:axId val="49313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36048"/>
        <c:crosses val="max"/>
        <c:crossBetween val="between"/>
      </c:valAx>
      <c:dateAx>
        <c:axId val="4931360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313867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9</xdr:row>
      <xdr:rowOff>114300</xdr:rowOff>
    </xdr:from>
    <xdr:to>
      <xdr:col>8</xdr:col>
      <xdr:colOff>39153</xdr:colOff>
      <xdr:row>26</xdr:row>
      <xdr:rowOff>1053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686821-0C95-2FE5-E8EE-783AA0D8A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2300" y="2438400"/>
          <a:ext cx="3017303" cy="30173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193675</xdr:colOff>
      <xdr:row>32</xdr:row>
      <xdr:rowOff>95250</xdr:rowOff>
    </xdr:from>
    <xdr:to>
      <xdr:col>10</xdr:col>
      <xdr:colOff>863600</xdr:colOff>
      <xdr:row>47</xdr:row>
      <xdr:rowOff>44449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BEF553-A4A0-7965-0588-36E0F9324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3</xdr:row>
      <xdr:rowOff>3175</xdr:rowOff>
    </xdr:from>
    <xdr:to>
      <xdr:col>14</xdr:col>
      <xdr:colOff>587375</xdr:colOff>
      <xdr:row>26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90E3-CEB8-5B35-64AD-68CD9F1B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18</xdr:row>
      <xdr:rowOff>165100</xdr:rowOff>
    </xdr:from>
    <xdr:to>
      <xdr:col>15</xdr:col>
      <xdr:colOff>444499</xdr:colOff>
      <xdr:row>35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4280EB-C83C-53A9-E0DE-D5B4B7C99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26F4A488-8172-4A67-9A77-04D1D784EA5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4022EADF-9E9C-4233-B841-DD27060124C3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B87A9D-54BF-4432-A0FE-42C5D9D1C5B8}" name="Table1" displayName="Table1" ref="A1:E91" totalsRowShown="0">
  <autoFilter ref="A1:E91" xr:uid="{6FB87A9D-54BF-4432-A0FE-42C5D9D1C5B8}"/>
  <tableColumns count="5">
    <tableColumn id="1" xr3:uid="{778B9C6A-BC08-4B4E-8289-0AC4D76D3FD0}" name="Timeline" dataDxfId="5"/>
    <tableColumn id="2" xr3:uid="{2974C8AD-250A-4A7C-B3EF-F0B9A5A63B5D}" name="Values"/>
    <tableColumn id="3" xr3:uid="{FBEB5122-A205-47D0-BC3B-C53FC07D1187}" name="Forecast" dataDxfId="4">
      <calculatedColumnFormula>_xlfn.FORECAST.ETS(A2,$B$2:$B$60,$A$2:$A$60,1,1)</calculatedColumnFormula>
    </tableColumn>
    <tableColumn id="4" xr3:uid="{8B0E4AA9-0A86-4DC0-8F92-B8697210ECD8}" name="Lower Confidence Bound" dataDxfId="3">
      <calculatedColumnFormula>C2-_xlfn.FORECAST.ETS.CONFINT(A2,$B$2:$B$60,$A$2:$A$60,0.95,1,1)</calculatedColumnFormula>
    </tableColumn>
    <tableColumn id="5" xr3:uid="{325E3B0B-CCAC-4131-9975-0757BFEFD2BE}" name="Upper Confidence Bound" dataDxfId="2">
      <calculatedColumnFormula>C2+_xlfn.FORECAST.ETS.CONFINT(A2,$B$2:$B$60,$A$2:$A$60,0.95,1,1)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E65B0-A169-4D59-8D1E-6C98398DB355}">
  <sheetPr codeName="Sheet2"/>
  <dimension ref="A1:L9"/>
  <sheetViews>
    <sheetView showGridLines="0" workbookViewId="0">
      <selection activeCell="A6" sqref="A6"/>
    </sheetView>
  </sheetViews>
  <sheetFormatPr defaultRowHeight="14.5" x14ac:dyDescent="0.35"/>
  <cols>
    <col min="4" max="4" width="6.1796875" customWidth="1"/>
    <col min="8" max="8" width="11.1796875" customWidth="1"/>
  </cols>
  <sheetData>
    <row r="1" spans="1:12" ht="36.5" customHeight="1" x14ac:dyDescent="0.65">
      <c r="A1" t="s">
        <v>52</v>
      </c>
      <c r="E1" s="17" t="s">
        <v>53</v>
      </c>
      <c r="F1" s="19"/>
      <c r="G1" s="19"/>
      <c r="H1" s="19"/>
    </row>
    <row r="2" spans="1:12" ht="45" customHeight="1" x14ac:dyDescent="0.65">
      <c r="A2" s="17" t="s">
        <v>72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4" spans="1:12" x14ac:dyDescent="0.35">
      <c r="A4" s="20" t="s">
        <v>54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</row>
    <row r="5" spans="1:12" x14ac:dyDescent="0.35">
      <c r="A5" s="20" t="s">
        <v>55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</row>
    <row r="6" spans="1:12" x14ac:dyDescent="0.35">
      <c r="A6" s="20" t="s">
        <v>73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</row>
    <row r="7" spans="1:12" x14ac:dyDescent="0.35">
      <c r="A7" s="20" t="s">
        <v>51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</row>
    <row r="8" spans="1:12" x14ac:dyDescent="0.35">
      <c r="A8" s="20" t="s">
        <v>60</v>
      </c>
    </row>
    <row r="9" spans="1:12" x14ac:dyDescent="0.35">
      <c r="A9" s="20" t="s">
        <v>56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D8AD-296A-4548-8F51-5DD9B8394764}">
  <sheetPr codeName="Sheet3"/>
  <dimension ref="A1:Q70"/>
  <sheetViews>
    <sheetView workbookViewId="0">
      <selection activeCell="G56" sqref="G56"/>
    </sheetView>
  </sheetViews>
  <sheetFormatPr defaultRowHeight="14.5" x14ac:dyDescent="0.35"/>
  <cols>
    <col min="1" max="1" width="8.81640625" style="6" bestFit="1" customWidth="1"/>
    <col min="2" max="2" width="14.54296875" style="6" bestFit="1" customWidth="1"/>
    <col min="3" max="3" width="13.6328125" style="6" bestFit="1" customWidth="1"/>
    <col min="4" max="4" width="8.54296875" style="6" bestFit="1" customWidth="1"/>
    <col min="5" max="5" width="10.453125" style="6" bestFit="1" customWidth="1"/>
    <col min="6" max="6" width="8.7265625" style="6"/>
    <col min="7" max="7" width="16.81640625" style="11" bestFit="1" customWidth="1"/>
    <col min="8" max="8" width="12.453125" style="15" bestFit="1" customWidth="1"/>
    <col min="9" max="9" width="17.26953125" style="6" bestFit="1" customWidth="1"/>
    <col min="10" max="10" width="12.453125" style="6" bestFit="1" customWidth="1"/>
    <col min="11" max="11" width="13.54296875" style="6" bestFit="1" customWidth="1"/>
    <col min="12" max="12" width="19.1796875" style="6" customWidth="1"/>
    <col min="13" max="17" width="12.453125" style="6" bestFit="1" customWidth="1"/>
    <col min="18" max="16384" width="8.7265625" style="6"/>
  </cols>
  <sheetData>
    <row r="1" spans="1:17" ht="18.5" customHeight="1" x14ac:dyDescent="0.35">
      <c r="A1" s="9" t="s">
        <v>2</v>
      </c>
      <c r="B1" s="9" t="s">
        <v>0</v>
      </c>
      <c r="C1" s="9" t="s">
        <v>1</v>
      </c>
      <c r="D1" s="9" t="s">
        <v>3</v>
      </c>
      <c r="E1" s="9" t="s">
        <v>28</v>
      </c>
      <c r="G1" s="10">
        <v>44713</v>
      </c>
      <c r="H1" s="16"/>
    </row>
    <row r="2" spans="1:17" x14ac:dyDescent="0.35">
      <c r="A2" s="1">
        <v>44654</v>
      </c>
      <c r="B2" s="7">
        <v>413595262456</v>
      </c>
      <c r="C2" s="7">
        <v>22091140765</v>
      </c>
      <c r="D2" s="8">
        <v>3440.34</v>
      </c>
      <c r="E2" s="8">
        <v>3521.58</v>
      </c>
      <c r="G2" s="11">
        <v>44713</v>
      </c>
      <c r="H2" s="15">
        <v>1914.3477258912917</v>
      </c>
    </row>
    <row r="3" spans="1:17" x14ac:dyDescent="0.35">
      <c r="A3" s="1">
        <v>44655</v>
      </c>
      <c r="B3" s="7">
        <v>423410516390</v>
      </c>
      <c r="C3" s="7">
        <v>14019828281</v>
      </c>
      <c r="D3" s="8">
        <v>3521.58</v>
      </c>
      <c r="E3" s="8">
        <v>3520.97</v>
      </c>
      <c r="G3" s="11">
        <v>44714</v>
      </c>
      <c r="H3" s="15">
        <v>1884.6154517825835</v>
      </c>
      <c r="I3" t="s">
        <v>4</v>
      </c>
      <c r="J3"/>
      <c r="K3"/>
      <c r="L3"/>
      <c r="M3"/>
      <c r="N3"/>
      <c r="O3"/>
      <c r="P3"/>
      <c r="Q3"/>
    </row>
    <row r="4" spans="1:17" ht="15" thickBot="1" x14ac:dyDescent="0.4">
      <c r="A4" s="1">
        <v>44656</v>
      </c>
      <c r="B4" s="7">
        <v>423367935035</v>
      </c>
      <c r="C4" s="7">
        <v>16925919014</v>
      </c>
      <c r="D4" s="8">
        <v>3520.97</v>
      </c>
      <c r="E4" s="8">
        <v>3422.97</v>
      </c>
      <c r="G4" s="11">
        <v>44715</v>
      </c>
      <c r="H4" s="15">
        <v>1854.8831776738753</v>
      </c>
      <c r="I4"/>
      <c r="J4"/>
      <c r="K4"/>
      <c r="L4"/>
      <c r="M4"/>
      <c r="N4"/>
      <c r="O4"/>
      <c r="P4"/>
      <c r="Q4"/>
    </row>
    <row r="5" spans="1:17" x14ac:dyDescent="0.35">
      <c r="A5" s="1">
        <v>44657</v>
      </c>
      <c r="B5" s="7">
        <v>412944890808</v>
      </c>
      <c r="C5" s="7">
        <v>15114055502</v>
      </c>
      <c r="D5" s="8">
        <v>3422.97</v>
      </c>
      <c r="E5" s="8">
        <v>3171.37</v>
      </c>
      <c r="G5" s="11">
        <v>44716</v>
      </c>
      <c r="H5" s="15">
        <v>1825.150903565167</v>
      </c>
      <c r="I5" s="5" t="s">
        <v>5</v>
      </c>
      <c r="J5" s="5"/>
      <c r="K5"/>
      <c r="L5"/>
      <c r="M5"/>
      <c r="N5"/>
      <c r="O5"/>
      <c r="P5"/>
      <c r="Q5"/>
    </row>
    <row r="6" spans="1:17" x14ac:dyDescent="0.35">
      <c r="A6" s="1">
        <v>44658</v>
      </c>
      <c r="B6" s="7">
        <v>382808702034</v>
      </c>
      <c r="C6" s="7">
        <v>26109763335</v>
      </c>
      <c r="D6" s="8">
        <v>3171.37</v>
      </c>
      <c r="E6" s="8">
        <v>3232.83</v>
      </c>
      <c r="G6" s="11">
        <v>44717</v>
      </c>
      <c r="H6" s="15">
        <v>1795.4186294564588</v>
      </c>
      <c r="I6" s="2" t="s">
        <v>6</v>
      </c>
      <c r="J6" s="2">
        <v>0.95845923495012109</v>
      </c>
      <c r="K6"/>
      <c r="L6"/>
      <c r="M6"/>
      <c r="N6"/>
      <c r="O6"/>
      <c r="P6"/>
      <c r="Q6"/>
    </row>
    <row r="7" spans="1:17" x14ac:dyDescent="0.35">
      <c r="A7" s="1">
        <v>44659</v>
      </c>
      <c r="B7" s="7">
        <v>388867320187</v>
      </c>
      <c r="C7" s="7">
        <v>16149775915</v>
      </c>
      <c r="D7" s="8">
        <v>3232.83</v>
      </c>
      <c r="E7" s="8">
        <v>3192.03</v>
      </c>
      <c r="G7" s="11">
        <v>44718</v>
      </c>
      <c r="H7" s="15">
        <v>1765.6863553477506</v>
      </c>
      <c r="I7" s="2" t="s">
        <v>7</v>
      </c>
      <c r="J7" s="2">
        <v>0.91864410506117145</v>
      </c>
      <c r="K7"/>
      <c r="L7"/>
      <c r="M7"/>
      <c r="N7"/>
      <c r="O7"/>
      <c r="P7"/>
      <c r="Q7"/>
    </row>
    <row r="8" spans="1:17" x14ac:dyDescent="0.35">
      <c r="A8" s="1">
        <v>44660</v>
      </c>
      <c r="B8" s="7">
        <v>382662893229</v>
      </c>
      <c r="C8" s="7">
        <v>17523939555</v>
      </c>
      <c r="D8" s="8">
        <v>3192.03</v>
      </c>
      <c r="E8" s="8">
        <v>3265.94</v>
      </c>
      <c r="G8" s="11">
        <v>44719</v>
      </c>
      <c r="H8" s="15">
        <v>1735.9540812390424</v>
      </c>
      <c r="I8" s="2" t="s">
        <v>8</v>
      </c>
      <c r="J8" s="2">
        <v>0.91721680865873589</v>
      </c>
      <c r="K8"/>
      <c r="L8"/>
      <c r="M8"/>
      <c r="N8"/>
      <c r="O8"/>
      <c r="P8"/>
      <c r="Q8"/>
    </row>
    <row r="9" spans="1:17" x14ac:dyDescent="0.35">
      <c r="A9" s="1">
        <v>44661</v>
      </c>
      <c r="B9" s="7">
        <v>392551461531</v>
      </c>
      <c r="C9" s="7">
        <v>9316769844</v>
      </c>
      <c r="D9" s="8">
        <v>3265.94</v>
      </c>
      <c r="E9" s="8">
        <v>3219.16</v>
      </c>
      <c r="G9" s="11">
        <v>44720</v>
      </c>
      <c r="H9" s="15">
        <v>1706.2218071303341</v>
      </c>
      <c r="I9" s="2" t="s">
        <v>9</v>
      </c>
      <c r="J9" s="2">
        <v>4.9417650131985127</v>
      </c>
      <c r="K9"/>
      <c r="L9"/>
      <c r="M9"/>
      <c r="N9"/>
      <c r="O9"/>
      <c r="P9"/>
      <c r="Q9"/>
    </row>
    <row r="10" spans="1:17" ht="15" thickBot="1" x14ac:dyDescent="0.4">
      <c r="A10" s="1">
        <v>44662</v>
      </c>
      <c r="B10" s="7">
        <v>388982079663</v>
      </c>
      <c r="C10" s="7">
        <v>10005373137</v>
      </c>
      <c r="D10" s="8">
        <v>3219.16</v>
      </c>
      <c r="E10" s="8">
        <v>2992.7</v>
      </c>
      <c r="G10" s="11">
        <v>44721</v>
      </c>
      <c r="H10" s="15">
        <v>1676.4895330216259</v>
      </c>
      <c r="I10" s="3" t="s">
        <v>10</v>
      </c>
      <c r="J10" s="3">
        <v>59</v>
      </c>
      <c r="K10"/>
      <c r="L10"/>
      <c r="M10"/>
      <c r="N10"/>
      <c r="O10"/>
      <c r="P10"/>
      <c r="Q10"/>
    </row>
    <row r="11" spans="1:17" x14ac:dyDescent="0.35">
      <c r="A11" s="1">
        <v>44663</v>
      </c>
      <c r="B11" s="7">
        <v>360149250762</v>
      </c>
      <c r="C11" s="7">
        <v>21142997360</v>
      </c>
      <c r="D11" s="8">
        <v>2992.7</v>
      </c>
      <c r="E11" s="8">
        <v>3038.21</v>
      </c>
      <c r="G11" s="11">
        <v>44722</v>
      </c>
      <c r="H11" s="15">
        <v>1646.7572589129177</v>
      </c>
      <c r="I11"/>
      <c r="J11"/>
      <c r="K11"/>
      <c r="L11"/>
      <c r="M11"/>
      <c r="N11"/>
      <c r="O11"/>
      <c r="P11"/>
      <c r="Q11"/>
    </row>
    <row r="12" spans="1:17" ht="15" thickBot="1" x14ac:dyDescent="0.4">
      <c r="A12" s="1">
        <v>44664</v>
      </c>
      <c r="B12" s="7">
        <v>365661388411</v>
      </c>
      <c r="C12" s="7">
        <v>18977679664</v>
      </c>
      <c r="D12" s="8">
        <v>3038.21</v>
      </c>
      <c r="E12" s="8">
        <v>3121.4</v>
      </c>
      <c r="G12" s="11">
        <v>44723</v>
      </c>
      <c r="H12" s="15">
        <v>1617.0249848042095</v>
      </c>
      <c r="I12" t="s">
        <v>11</v>
      </c>
      <c r="J12"/>
      <c r="K12"/>
      <c r="L12"/>
      <c r="M12"/>
      <c r="N12"/>
      <c r="O12"/>
      <c r="P12"/>
      <c r="Q12"/>
    </row>
    <row r="13" spans="1:17" x14ac:dyDescent="0.35">
      <c r="A13" s="1">
        <v>44665</v>
      </c>
      <c r="B13" s="7">
        <v>375767680796</v>
      </c>
      <c r="C13" s="7">
        <v>15452917855</v>
      </c>
      <c r="D13" s="8">
        <v>3121.4</v>
      </c>
      <c r="E13" s="8">
        <v>3023.42</v>
      </c>
      <c r="G13" s="11">
        <v>44724</v>
      </c>
      <c r="H13" s="15">
        <v>1587.2927106955012</v>
      </c>
      <c r="I13" s="4"/>
      <c r="J13" s="4" t="s">
        <v>16</v>
      </c>
      <c r="K13" s="4" t="s">
        <v>17</v>
      </c>
      <c r="L13" s="4" t="s">
        <v>18</v>
      </c>
      <c r="M13" s="4" t="s">
        <v>19</v>
      </c>
      <c r="N13" s="4" t="s">
        <v>20</v>
      </c>
      <c r="O13"/>
      <c r="P13"/>
      <c r="Q13"/>
    </row>
    <row r="14" spans="1:17" x14ac:dyDescent="0.35">
      <c r="A14" s="1">
        <v>44666</v>
      </c>
      <c r="B14" s="7">
        <v>363962080918</v>
      </c>
      <c r="C14" s="7">
        <v>15895586505</v>
      </c>
      <c r="D14" s="8">
        <v>3023.42</v>
      </c>
      <c r="E14" s="8">
        <v>3045.43</v>
      </c>
      <c r="G14" s="11">
        <v>44725</v>
      </c>
      <c r="H14" s="15">
        <v>1557.560436586793</v>
      </c>
      <c r="I14" s="2" t="s">
        <v>12</v>
      </c>
      <c r="J14" s="2">
        <v>1</v>
      </c>
      <c r="K14" s="2">
        <v>15718.000637596644</v>
      </c>
      <c r="L14" s="2">
        <v>15718.000637596644</v>
      </c>
      <c r="M14" s="2">
        <v>643.62532091692094</v>
      </c>
      <c r="N14" s="2">
        <v>9.6819312208238332E-33</v>
      </c>
      <c r="O14"/>
      <c r="P14"/>
      <c r="Q14"/>
    </row>
    <row r="15" spans="1:17" x14ac:dyDescent="0.35">
      <c r="A15" s="1">
        <v>44667</v>
      </c>
      <c r="B15" s="7">
        <v>366695398817</v>
      </c>
      <c r="C15" s="7">
        <v>12543243551</v>
      </c>
      <c r="D15" s="8">
        <v>3045.43</v>
      </c>
      <c r="E15" s="8">
        <v>3066.36</v>
      </c>
      <c r="G15" s="11">
        <v>44726</v>
      </c>
      <c r="H15" s="15">
        <v>1527.8281624780848</v>
      </c>
      <c r="I15" s="2" t="s">
        <v>13</v>
      </c>
      <c r="J15" s="2">
        <v>57</v>
      </c>
      <c r="K15" s="2">
        <v>1391.999362403355</v>
      </c>
      <c r="L15" s="2">
        <v>24.421041445672895</v>
      </c>
      <c r="M15" s="2"/>
      <c r="N15" s="2"/>
      <c r="O15"/>
      <c r="P15"/>
      <c r="Q15"/>
    </row>
    <row r="16" spans="1:17" ht="15" thickBot="1" x14ac:dyDescent="0.4">
      <c r="A16" s="1">
        <v>44668</v>
      </c>
      <c r="B16" s="7">
        <v>369787917597</v>
      </c>
      <c r="C16" s="7">
        <v>9063939048</v>
      </c>
      <c r="D16" s="8">
        <v>3066.36</v>
      </c>
      <c r="E16" s="8">
        <v>2995.72</v>
      </c>
      <c r="G16" s="11">
        <v>44727</v>
      </c>
      <c r="H16" s="15">
        <v>1498.0958883693766</v>
      </c>
      <c r="I16" s="3" t="s">
        <v>14</v>
      </c>
      <c r="J16" s="3">
        <v>58</v>
      </c>
      <c r="K16" s="3">
        <v>17110</v>
      </c>
      <c r="L16" s="3"/>
      <c r="M16" s="3"/>
      <c r="N16" s="3"/>
      <c r="O16"/>
      <c r="P16"/>
      <c r="Q16"/>
    </row>
    <row r="17" spans="1:17" ht="15" thickBot="1" x14ac:dyDescent="0.4">
      <c r="A17" s="1">
        <v>44669</v>
      </c>
      <c r="B17" s="7">
        <v>360748880963</v>
      </c>
      <c r="C17" s="7">
        <v>9543306566</v>
      </c>
      <c r="D17" s="8">
        <v>2995.72</v>
      </c>
      <c r="E17" s="8">
        <v>3061.89</v>
      </c>
      <c r="G17" s="11">
        <v>44728</v>
      </c>
      <c r="H17" s="15">
        <v>1468.3636142606683</v>
      </c>
      <c r="I17"/>
      <c r="J17"/>
      <c r="K17"/>
      <c r="L17"/>
      <c r="M17"/>
      <c r="N17"/>
      <c r="O17"/>
      <c r="P17"/>
      <c r="Q17"/>
    </row>
    <row r="18" spans="1:17" x14ac:dyDescent="0.35">
      <c r="A18" s="1">
        <v>44670</v>
      </c>
      <c r="B18" s="7">
        <v>368758484170</v>
      </c>
      <c r="C18" s="7">
        <v>18188817400</v>
      </c>
      <c r="D18" s="8">
        <v>3061.89</v>
      </c>
      <c r="E18" s="8">
        <v>3104.69</v>
      </c>
      <c r="G18" s="11">
        <v>44729</v>
      </c>
      <c r="H18" s="15">
        <v>1438.6313401519601</v>
      </c>
      <c r="I18" s="4"/>
      <c r="J18" s="4" t="s">
        <v>21</v>
      </c>
      <c r="K18" s="4" t="s">
        <v>9</v>
      </c>
      <c r="L18" s="4" t="s">
        <v>22</v>
      </c>
      <c r="M18" s="4" t="s">
        <v>23</v>
      </c>
      <c r="N18" s="4" t="s">
        <v>24</v>
      </c>
      <c r="O18" s="4" t="s">
        <v>25</v>
      </c>
      <c r="P18" s="4" t="s">
        <v>26</v>
      </c>
      <c r="Q18" s="4" t="s">
        <v>27</v>
      </c>
    </row>
    <row r="19" spans="1:17" x14ac:dyDescent="0.35">
      <c r="A19" s="1">
        <v>44671</v>
      </c>
      <c r="B19" s="7">
        <v>373782979943</v>
      </c>
      <c r="C19" s="7">
        <v>13472639207</v>
      </c>
      <c r="D19" s="8">
        <v>3104.69</v>
      </c>
      <c r="E19" s="8">
        <v>3079.68</v>
      </c>
      <c r="G19" s="11">
        <v>44730</v>
      </c>
      <c r="H19" s="15">
        <v>1408.8990660432519</v>
      </c>
      <c r="I19" s="2" t="s">
        <v>15</v>
      </c>
      <c r="J19" s="2">
        <v>44763.657629891139</v>
      </c>
      <c r="K19" s="2">
        <v>3.2437235923954262</v>
      </c>
      <c r="L19" s="2">
        <v>13800.083871151935</v>
      </c>
      <c r="M19" s="2">
        <v>1.2338697051255575E-187</v>
      </c>
      <c r="N19" s="2">
        <v>44757.162185437883</v>
      </c>
      <c r="O19" s="2">
        <v>44770.153074344395</v>
      </c>
      <c r="P19" s="2">
        <v>44757.162185437883</v>
      </c>
      <c r="Q19" s="2">
        <v>44770.153074344395</v>
      </c>
    </row>
    <row r="20" spans="1:17" ht="15" thickBot="1" x14ac:dyDescent="0.4">
      <c r="A20" s="1">
        <v>44672</v>
      </c>
      <c r="B20" s="7">
        <v>370910549449</v>
      </c>
      <c r="C20" s="7">
        <v>15155965878</v>
      </c>
      <c r="D20" s="8">
        <v>3079.68</v>
      </c>
      <c r="E20" s="8">
        <v>2987.49</v>
      </c>
      <c r="G20" s="11">
        <v>44731</v>
      </c>
      <c r="H20" s="15">
        <v>1379.1667919345437</v>
      </c>
      <c r="I20" s="3" t="s">
        <v>28</v>
      </c>
      <c r="J20" s="3">
        <v>-3.0897202874640112E-2</v>
      </c>
      <c r="K20" s="3">
        <v>1.2178746866399672E-3</v>
      </c>
      <c r="L20" s="3">
        <v>-25.369771794734792</v>
      </c>
      <c r="M20" s="3">
        <v>9.6819312208238332E-33</v>
      </c>
      <c r="N20" s="3">
        <v>-3.3335954868381507E-2</v>
      </c>
      <c r="O20" s="3">
        <v>-2.8458450880898718E-2</v>
      </c>
      <c r="P20" s="3">
        <v>-3.3335954868381507E-2</v>
      </c>
      <c r="Q20" s="3">
        <v>-2.8458450880898718E-2</v>
      </c>
    </row>
    <row r="21" spans="1:17" x14ac:dyDescent="0.35">
      <c r="A21" s="1">
        <v>44673</v>
      </c>
      <c r="B21" s="7">
        <v>359917773311</v>
      </c>
      <c r="C21" s="7">
        <v>20529419340</v>
      </c>
      <c r="D21" s="8">
        <v>2987.49</v>
      </c>
      <c r="E21" s="8">
        <v>2967.09</v>
      </c>
      <c r="G21" s="11">
        <v>44732</v>
      </c>
      <c r="H21" s="15">
        <v>1349.4345178258354</v>
      </c>
      <c r="I21"/>
      <c r="J21"/>
      <c r="K21"/>
      <c r="L21"/>
      <c r="M21"/>
      <c r="N21"/>
      <c r="O21"/>
      <c r="P21"/>
      <c r="Q21"/>
    </row>
    <row r="22" spans="1:17" x14ac:dyDescent="0.35">
      <c r="A22" s="1">
        <v>44674</v>
      </c>
      <c r="B22" s="7">
        <v>357702343020</v>
      </c>
      <c r="C22" s="7">
        <v>16155619719</v>
      </c>
      <c r="D22" s="8">
        <v>2967.09</v>
      </c>
      <c r="E22" s="8">
        <v>2940.69</v>
      </c>
      <c r="G22" s="11">
        <v>44733</v>
      </c>
      <c r="H22" s="15">
        <v>1319.7022437171272</v>
      </c>
      <c r="I22" t="s">
        <v>31</v>
      </c>
      <c r="J22"/>
      <c r="K22"/>
      <c r="L22"/>
      <c r="M22"/>
      <c r="N22"/>
      <c r="O22"/>
      <c r="P22"/>
      <c r="Q22"/>
    </row>
    <row r="23" spans="1:17" ht="15" thickBot="1" x14ac:dyDescent="0.4">
      <c r="A23" s="1">
        <v>44675</v>
      </c>
      <c r="B23" s="7">
        <v>354358143095</v>
      </c>
      <c r="C23" s="7">
        <v>8633203958</v>
      </c>
      <c r="D23" s="8">
        <v>2940.69</v>
      </c>
      <c r="E23" s="8">
        <v>2922.9</v>
      </c>
      <c r="G23" s="11">
        <v>44734</v>
      </c>
      <c r="H23" s="15">
        <v>1289.969969608419</v>
      </c>
      <c r="I23"/>
      <c r="J23" s="12"/>
      <c r="K23"/>
      <c r="L23"/>
      <c r="M23"/>
      <c r="N23"/>
      <c r="O23"/>
      <c r="P23"/>
      <c r="Q23"/>
    </row>
    <row r="24" spans="1:17" x14ac:dyDescent="0.35">
      <c r="A24" s="1">
        <v>44676</v>
      </c>
      <c r="B24" s="7">
        <v>352895958715</v>
      </c>
      <c r="C24" s="7">
        <v>9196851418</v>
      </c>
      <c r="D24" s="8">
        <v>2922.9</v>
      </c>
      <c r="E24" s="8">
        <v>3008.34</v>
      </c>
      <c r="G24" s="11">
        <v>44735</v>
      </c>
      <c r="H24" s="15">
        <v>1260.2376954997108</v>
      </c>
      <c r="L24" s="5" t="s">
        <v>50</v>
      </c>
      <c r="M24" s="5"/>
    </row>
    <row r="25" spans="1:17" x14ac:dyDescent="0.35">
      <c r="A25" s="1">
        <v>44677</v>
      </c>
      <c r="B25" s="7">
        <v>362590296738</v>
      </c>
      <c r="C25" s="7">
        <v>22037549639</v>
      </c>
      <c r="D25" s="8">
        <v>3008.34</v>
      </c>
      <c r="E25" s="8">
        <v>2806.75</v>
      </c>
      <c r="G25" s="11">
        <v>44736</v>
      </c>
      <c r="H25" s="15">
        <v>1230.5054213910025</v>
      </c>
      <c r="L25" s="2"/>
      <c r="M25" s="2"/>
    </row>
    <row r="26" spans="1:17" x14ac:dyDescent="0.35">
      <c r="A26" s="1">
        <v>44678</v>
      </c>
      <c r="B26" s="7">
        <v>338098235744</v>
      </c>
      <c r="C26" s="7">
        <v>17750798289</v>
      </c>
      <c r="D26" s="8">
        <v>2806.75</v>
      </c>
      <c r="E26" s="8">
        <v>2889.59</v>
      </c>
      <c r="G26" s="11">
        <v>44737</v>
      </c>
      <c r="H26" s="15">
        <v>1200.7731472822943</v>
      </c>
      <c r="L26" s="2" t="s">
        <v>38</v>
      </c>
      <c r="M26" s="2">
        <v>2610.5155932203384</v>
      </c>
    </row>
    <row r="27" spans="1:17" x14ac:dyDescent="0.35">
      <c r="A27" s="1">
        <v>44679</v>
      </c>
      <c r="B27" s="7">
        <v>348355348857</v>
      </c>
      <c r="C27" s="7">
        <v>17036298769</v>
      </c>
      <c r="D27" s="8">
        <v>2889.59</v>
      </c>
      <c r="E27" s="8">
        <v>2932.46</v>
      </c>
      <c r="G27" s="11">
        <v>44738</v>
      </c>
      <c r="H27" s="15">
        <v>1171.0408731735861</v>
      </c>
      <c r="L27" s="2" t="s">
        <v>9</v>
      </c>
      <c r="M27" s="2">
        <v>69.364855184674624</v>
      </c>
    </row>
    <row r="28" spans="1:17" x14ac:dyDescent="0.35">
      <c r="A28" s="1">
        <v>44680</v>
      </c>
      <c r="B28" s="7">
        <v>353388170473</v>
      </c>
      <c r="C28" s="7">
        <v>18249410920</v>
      </c>
      <c r="D28" s="8">
        <v>2932.46</v>
      </c>
      <c r="E28" s="8">
        <v>2817.49</v>
      </c>
      <c r="G28" s="11">
        <v>44739</v>
      </c>
      <c r="H28" s="15">
        <v>1141.3085990648779</v>
      </c>
      <c r="L28" s="2" t="s">
        <v>39</v>
      </c>
      <c r="M28" s="2">
        <v>2806.75</v>
      </c>
    </row>
    <row r="29" spans="1:17" x14ac:dyDescent="0.35">
      <c r="A29" s="1">
        <v>44681</v>
      </c>
      <c r="B29" s="7">
        <v>340291788027</v>
      </c>
      <c r="C29" s="7">
        <v>17902735174</v>
      </c>
      <c r="D29" s="8">
        <v>2817.49</v>
      </c>
      <c r="E29" s="8">
        <v>2738.17</v>
      </c>
      <c r="G29" s="11">
        <v>44740</v>
      </c>
      <c r="H29" s="15">
        <v>1111.5763249561696</v>
      </c>
      <c r="L29" s="2" t="s">
        <v>40</v>
      </c>
      <c r="M29" s="2" t="e">
        <v>#N/A</v>
      </c>
    </row>
    <row r="30" spans="1:17" x14ac:dyDescent="0.35">
      <c r="A30" s="1">
        <v>44682</v>
      </c>
      <c r="B30" s="7">
        <v>330211251741</v>
      </c>
      <c r="C30" s="7">
        <v>12618462103</v>
      </c>
      <c r="D30" s="8">
        <v>2738.17</v>
      </c>
      <c r="E30" s="8">
        <v>2832.51</v>
      </c>
      <c r="G30" s="11">
        <v>44741</v>
      </c>
      <c r="H30" s="15">
        <v>1081.8440508474614</v>
      </c>
      <c r="L30" s="2" t="s">
        <v>41</v>
      </c>
      <c r="M30" s="2">
        <v>532.80156245328521</v>
      </c>
    </row>
    <row r="31" spans="1:17" x14ac:dyDescent="0.35">
      <c r="A31" s="1">
        <v>44683</v>
      </c>
      <c r="B31" s="7">
        <v>341626180827</v>
      </c>
      <c r="C31" s="7">
        <v>14489173445</v>
      </c>
      <c r="D31" s="8">
        <v>2832.51</v>
      </c>
      <c r="E31" s="8">
        <v>2861.37</v>
      </c>
      <c r="G31" s="11">
        <v>44742</v>
      </c>
      <c r="H31" s="15">
        <v>1052.1117767387532</v>
      </c>
      <c r="L31" s="2" t="s">
        <v>42</v>
      </c>
      <c r="M31" s="2">
        <v>283877.50495266193</v>
      </c>
    </row>
    <row r="32" spans="1:17" x14ac:dyDescent="0.35">
      <c r="A32" s="1">
        <v>44684</v>
      </c>
      <c r="B32" s="7">
        <v>345080135066</v>
      </c>
      <c r="C32" s="7">
        <v>17701813871</v>
      </c>
      <c r="D32" s="8">
        <v>2861.37</v>
      </c>
      <c r="E32" s="8">
        <v>2786.05</v>
      </c>
      <c r="G32" s="11">
        <v>44743</v>
      </c>
      <c r="H32" s="15">
        <v>1022.379502630045</v>
      </c>
      <c r="L32" s="2" t="s">
        <v>43</v>
      </c>
      <c r="M32" s="2">
        <v>-1.4394338542304193</v>
      </c>
    </row>
    <row r="33" spans="1:13" x14ac:dyDescent="0.35">
      <c r="A33" s="1">
        <v>44685</v>
      </c>
      <c r="B33" s="7">
        <v>336655132685</v>
      </c>
      <c r="C33" s="7">
        <v>12836324478</v>
      </c>
      <c r="D33" s="8">
        <v>2786.05</v>
      </c>
      <c r="E33" s="8">
        <v>2942.05</v>
      </c>
      <c r="L33" s="2" t="s">
        <v>44</v>
      </c>
      <c r="M33" s="2">
        <v>-0.19927067627295697</v>
      </c>
    </row>
    <row r="34" spans="1:13" x14ac:dyDescent="0.35">
      <c r="A34" s="1">
        <v>44686</v>
      </c>
      <c r="B34" s="7">
        <v>355229761723</v>
      </c>
      <c r="C34" s="7">
        <v>17336934450</v>
      </c>
      <c r="D34" s="8">
        <v>2942.05</v>
      </c>
      <c r="E34" s="8">
        <v>2753.94</v>
      </c>
      <c r="L34" s="2" t="s">
        <v>45</v>
      </c>
      <c r="M34" s="2">
        <v>1796.6999999999998</v>
      </c>
    </row>
    <row r="35" spans="1:13" x14ac:dyDescent="0.35">
      <c r="A35" s="1">
        <v>44687</v>
      </c>
      <c r="B35" s="7">
        <v>332103738940</v>
      </c>
      <c r="C35" s="7">
        <v>20868783133</v>
      </c>
      <c r="D35" s="8">
        <v>2753.94</v>
      </c>
      <c r="E35" s="8">
        <v>2699.71</v>
      </c>
      <c r="L35" s="2" t="s">
        <v>46</v>
      </c>
      <c r="M35" s="2">
        <v>1724.88</v>
      </c>
    </row>
    <row r="36" spans="1:13" x14ac:dyDescent="0.35">
      <c r="A36" s="1">
        <v>44688</v>
      </c>
      <c r="B36" s="7">
        <v>325971900416</v>
      </c>
      <c r="C36" s="7">
        <v>20516541977</v>
      </c>
      <c r="D36" s="8">
        <v>2699.71</v>
      </c>
      <c r="E36" s="8">
        <v>2641.23</v>
      </c>
      <c r="L36" s="2" t="s">
        <v>47</v>
      </c>
      <c r="M36" s="2">
        <v>3521.58</v>
      </c>
    </row>
    <row r="37" spans="1:13" x14ac:dyDescent="0.35">
      <c r="A37" s="1">
        <v>44689</v>
      </c>
      <c r="B37" s="7">
        <v>319030900104</v>
      </c>
      <c r="C37" s="7">
        <v>12528069434</v>
      </c>
      <c r="D37" s="8">
        <v>2641.23</v>
      </c>
      <c r="E37" s="8">
        <v>2517.83</v>
      </c>
      <c r="L37" s="2" t="s">
        <v>48</v>
      </c>
      <c r="M37" s="2">
        <v>154020.41999999995</v>
      </c>
    </row>
    <row r="38" spans="1:13" x14ac:dyDescent="0.35">
      <c r="A38" s="1">
        <v>44690</v>
      </c>
      <c r="B38" s="7">
        <v>304412453306</v>
      </c>
      <c r="C38" s="7">
        <v>20582973186</v>
      </c>
      <c r="D38" s="8">
        <v>2517.83</v>
      </c>
      <c r="E38" s="8">
        <v>2249.89</v>
      </c>
      <c r="L38" s="2" t="s">
        <v>49</v>
      </c>
      <c r="M38" s="2">
        <v>59</v>
      </c>
    </row>
    <row r="39" spans="1:13" x14ac:dyDescent="0.35">
      <c r="A39" s="1">
        <v>44691</v>
      </c>
      <c r="B39" s="7">
        <v>271594796947</v>
      </c>
      <c r="C39" s="7">
        <v>34392685562</v>
      </c>
      <c r="D39" s="8">
        <v>2249.89</v>
      </c>
      <c r="E39" s="8">
        <v>2344.8000000000002</v>
      </c>
      <c r="L39" s="2" t="s">
        <v>36</v>
      </c>
      <c r="M39" s="2">
        <v>3520.97</v>
      </c>
    </row>
    <row r="40" spans="1:13" ht="15" thickBot="1" x14ac:dyDescent="0.4">
      <c r="A40" s="1">
        <v>44692</v>
      </c>
      <c r="B40" s="7">
        <v>283082341315</v>
      </c>
      <c r="C40" s="7">
        <v>36844564808</v>
      </c>
      <c r="D40" s="8">
        <v>2344.8000000000002</v>
      </c>
      <c r="E40" s="8">
        <v>2080.91</v>
      </c>
      <c r="L40" s="3" t="s">
        <v>37</v>
      </c>
      <c r="M40" s="3">
        <v>1798.69</v>
      </c>
    </row>
    <row r="41" spans="1:13" x14ac:dyDescent="0.35">
      <c r="A41" s="1">
        <v>44693</v>
      </c>
      <c r="B41" s="7">
        <v>250066823475</v>
      </c>
      <c r="C41" s="7">
        <v>46548009611</v>
      </c>
      <c r="D41" s="8">
        <v>2080.91</v>
      </c>
      <c r="E41" s="8">
        <v>1966.7</v>
      </c>
    </row>
    <row r="42" spans="1:13" x14ac:dyDescent="0.35">
      <c r="A42" s="1">
        <v>44694</v>
      </c>
      <c r="B42" s="7">
        <v>238137944006</v>
      </c>
      <c r="C42" s="7">
        <v>41621733327</v>
      </c>
      <c r="D42" s="8">
        <v>1966.7</v>
      </c>
      <c r="E42" s="8">
        <v>2010.21</v>
      </c>
    </row>
    <row r="43" spans="1:13" x14ac:dyDescent="0.35">
      <c r="A43" s="1">
        <v>44695</v>
      </c>
      <c r="B43" s="7">
        <v>243391440609</v>
      </c>
      <c r="C43" s="7">
        <v>23979529161</v>
      </c>
      <c r="D43" s="8">
        <v>2010.21</v>
      </c>
      <c r="E43" s="8">
        <v>2064.23</v>
      </c>
    </row>
    <row r="44" spans="1:13" x14ac:dyDescent="0.35">
      <c r="A44" s="1">
        <v>44696</v>
      </c>
      <c r="B44" s="7">
        <v>249319115268</v>
      </c>
      <c r="C44" s="7">
        <v>14395772635</v>
      </c>
      <c r="D44" s="8">
        <v>2064.23</v>
      </c>
      <c r="E44" s="8">
        <v>2147.0500000000002</v>
      </c>
    </row>
    <row r="45" spans="1:13" x14ac:dyDescent="0.35">
      <c r="A45" s="1">
        <v>44697</v>
      </c>
      <c r="B45" s="7">
        <v>259350256988</v>
      </c>
      <c r="C45" s="7">
        <v>14395455889</v>
      </c>
      <c r="D45" s="8">
        <v>2147.0500000000002</v>
      </c>
      <c r="E45" s="8">
        <v>2025.89</v>
      </c>
    </row>
    <row r="46" spans="1:13" x14ac:dyDescent="0.35">
      <c r="A46" s="1">
        <v>44698</v>
      </c>
      <c r="B46" s="7">
        <v>244741893934</v>
      </c>
      <c r="C46" s="7">
        <v>20068743682</v>
      </c>
      <c r="D46" s="8">
        <v>2025.89</v>
      </c>
      <c r="E46" s="8">
        <v>2095.1799999999998</v>
      </c>
    </row>
    <row r="47" spans="1:13" x14ac:dyDescent="0.35">
      <c r="A47" s="1">
        <v>44699</v>
      </c>
      <c r="B47" s="7">
        <v>253640825086</v>
      </c>
      <c r="C47" s="7">
        <v>17005002529</v>
      </c>
      <c r="D47" s="8">
        <v>2095.1799999999998</v>
      </c>
      <c r="E47" s="8">
        <v>1915.18</v>
      </c>
    </row>
    <row r="48" spans="1:13" x14ac:dyDescent="0.35">
      <c r="A48" s="1">
        <v>44700</v>
      </c>
      <c r="B48" s="7">
        <v>232056327520</v>
      </c>
      <c r="C48" s="7">
        <v>15892119501</v>
      </c>
      <c r="D48" s="8">
        <v>1915.18</v>
      </c>
      <c r="E48" s="8">
        <v>2023.85</v>
      </c>
    </row>
    <row r="49" spans="1:9" x14ac:dyDescent="0.35">
      <c r="A49" s="1">
        <v>44701</v>
      </c>
      <c r="B49" s="7">
        <v>244359004843</v>
      </c>
      <c r="C49" s="7">
        <v>17828306699</v>
      </c>
      <c r="D49" s="8">
        <v>2023.85</v>
      </c>
      <c r="E49" s="8">
        <v>1963.99</v>
      </c>
      <c r="G49" s="6"/>
      <c r="H49" s="6"/>
      <c r="I49" s="6" t="s">
        <v>30</v>
      </c>
    </row>
    <row r="50" spans="1:9" x14ac:dyDescent="0.35">
      <c r="A50" s="1">
        <v>44702</v>
      </c>
      <c r="B50" s="7">
        <v>237366807799</v>
      </c>
      <c r="C50" s="7">
        <v>14638100163</v>
      </c>
      <c r="D50" s="8">
        <v>1963.99</v>
      </c>
      <c r="E50" s="8">
        <v>1978.15</v>
      </c>
    </row>
    <row r="51" spans="1:9" x14ac:dyDescent="0.35">
      <c r="A51" s="1">
        <v>44703</v>
      </c>
      <c r="B51" s="7">
        <v>239102942425</v>
      </c>
      <c r="C51" s="7">
        <v>7551508571</v>
      </c>
      <c r="D51" s="8">
        <v>1978.15</v>
      </c>
      <c r="E51" s="8">
        <v>2046.65</v>
      </c>
    </row>
    <row r="52" spans="1:9" x14ac:dyDescent="0.35">
      <c r="A52" s="1">
        <v>44704</v>
      </c>
      <c r="B52" s="7">
        <v>247730054115</v>
      </c>
      <c r="C52" s="7">
        <v>9623174528</v>
      </c>
      <c r="D52" s="8">
        <v>2046.65</v>
      </c>
      <c r="E52" s="8">
        <v>1974.58</v>
      </c>
    </row>
    <row r="53" spans="1:9" x14ac:dyDescent="0.35">
      <c r="A53" s="1">
        <v>44705</v>
      </c>
      <c r="B53" s="7">
        <v>238722810744</v>
      </c>
      <c r="C53" s="7">
        <v>14627311158</v>
      </c>
      <c r="D53" s="8">
        <v>1974.58</v>
      </c>
      <c r="E53" s="8">
        <v>1979.77</v>
      </c>
    </row>
    <row r="54" spans="1:9" x14ac:dyDescent="0.35">
      <c r="A54" s="1">
        <v>44706</v>
      </c>
      <c r="B54" s="7">
        <v>239375431793</v>
      </c>
      <c r="C54" s="7">
        <v>12880481568</v>
      </c>
      <c r="D54" s="8">
        <v>1979.77</v>
      </c>
      <c r="E54" s="8">
        <v>1944.84</v>
      </c>
      <c r="G54" s="6"/>
      <c r="H54" s="6"/>
    </row>
    <row r="55" spans="1:9" x14ac:dyDescent="0.35">
      <c r="A55" s="1">
        <v>44707</v>
      </c>
      <c r="B55" s="7">
        <v>235347664835</v>
      </c>
      <c r="C55" s="7">
        <v>12554611854</v>
      </c>
      <c r="D55" s="8">
        <v>1944.84</v>
      </c>
      <c r="E55" s="8">
        <v>1807.97</v>
      </c>
      <c r="G55" s="6"/>
      <c r="H55" s="6"/>
    </row>
    <row r="56" spans="1:9" x14ac:dyDescent="0.35">
      <c r="A56" s="1">
        <v>44708</v>
      </c>
      <c r="B56" s="7">
        <v>219247293980</v>
      </c>
      <c r="C56" s="7">
        <v>22669347247</v>
      </c>
      <c r="D56" s="8">
        <v>1807.97</v>
      </c>
      <c r="E56" s="8">
        <v>1724.88</v>
      </c>
      <c r="G56" s="6"/>
      <c r="H56" s="6"/>
    </row>
    <row r="57" spans="1:9" x14ac:dyDescent="0.35">
      <c r="A57" s="1">
        <v>44709</v>
      </c>
      <c r="B57" s="7">
        <v>208622909554</v>
      </c>
      <c r="C57" s="7">
        <v>24344535949</v>
      </c>
      <c r="D57" s="8">
        <v>1724.88</v>
      </c>
      <c r="E57" s="8">
        <v>1798.69</v>
      </c>
      <c r="G57" s="6"/>
      <c r="H57" s="6"/>
    </row>
    <row r="58" spans="1:9" x14ac:dyDescent="0.35">
      <c r="A58" s="1">
        <v>44710</v>
      </c>
      <c r="B58" s="7">
        <v>217791356993</v>
      </c>
      <c r="C58" s="7">
        <v>12004308559</v>
      </c>
      <c r="D58" s="8">
        <v>1798.69</v>
      </c>
      <c r="E58" s="8">
        <v>1814.98</v>
      </c>
      <c r="G58" s="6"/>
      <c r="H58" s="6"/>
    </row>
    <row r="59" spans="1:9" x14ac:dyDescent="0.35">
      <c r="A59" s="1">
        <v>44711</v>
      </c>
      <c r="B59" s="7">
        <v>219535934458</v>
      </c>
      <c r="C59" s="7">
        <v>9767849361</v>
      </c>
      <c r="D59" s="8">
        <v>1814.98</v>
      </c>
      <c r="E59" s="8">
        <v>1995.94</v>
      </c>
      <c r="G59" s="6"/>
      <c r="H59" s="6"/>
    </row>
    <row r="60" spans="1:9" x14ac:dyDescent="0.35">
      <c r="A60" s="1">
        <v>44712</v>
      </c>
      <c r="B60" s="7">
        <v>241204871683</v>
      </c>
      <c r="C60" s="7">
        <v>18803016950</v>
      </c>
      <c r="D60" s="8">
        <v>1995.94</v>
      </c>
      <c r="E60" s="8">
        <v>1944.08</v>
      </c>
      <c r="G60" s="6"/>
      <c r="H60" s="6"/>
    </row>
    <row r="61" spans="1:9" x14ac:dyDescent="0.35">
      <c r="G61" s="6"/>
      <c r="H61" s="6"/>
    </row>
    <row r="62" spans="1:9" x14ac:dyDescent="0.35">
      <c r="G62" s="6"/>
      <c r="H62" s="6"/>
    </row>
    <row r="63" spans="1:9" x14ac:dyDescent="0.35">
      <c r="G63" s="6"/>
      <c r="H63" s="6"/>
    </row>
    <row r="64" spans="1:9" x14ac:dyDescent="0.35">
      <c r="G64" s="6"/>
      <c r="H64" s="6"/>
    </row>
    <row r="65" s="6" customFormat="1" x14ac:dyDescent="0.35"/>
    <row r="66" s="6" customFormat="1" x14ac:dyDescent="0.35"/>
    <row r="67" s="6" customFormat="1" x14ac:dyDescent="0.35"/>
    <row r="68" s="6" customFormat="1" x14ac:dyDescent="0.35"/>
    <row r="69" s="6" customFormat="1" x14ac:dyDescent="0.35"/>
    <row r="70" s="6" customFormat="1" x14ac:dyDescent="0.3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A08-6724-4E40-9FCF-6A2188DE1E39}">
  <sheetPr codeName="Sheet4"/>
  <dimension ref="A1:E91"/>
  <sheetViews>
    <sheetView topLeftCell="A4" workbookViewId="0">
      <selection activeCell="F1" sqref="F1"/>
    </sheetView>
  </sheetViews>
  <sheetFormatPr defaultRowHeight="14.5" x14ac:dyDescent="0.35"/>
  <cols>
    <col min="1" max="1" width="9.90625" customWidth="1"/>
    <col min="2" max="2" width="9.453125" bestFit="1" customWidth="1"/>
    <col min="3" max="3" width="9.90625" customWidth="1"/>
    <col min="4" max="4" width="23.6328125" customWidth="1"/>
    <col min="5" max="5" width="23.7265625" customWidth="1"/>
  </cols>
  <sheetData>
    <row r="1" spans="1:5" x14ac:dyDescent="0.35">
      <c r="A1" t="s">
        <v>32</v>
      </c>
      <c r="B1" t="s">
        <v>33</v>
      </c>
      <c r="C1" t="s">
        <v>29</v>
      </c>
      <c r="D1" t="s">
        <v>34</v>
      </c>
      <c r="E1" t="s">
        <v>35</v>
      </c>
    </row>
    <row r="2" spans="1:5" x14ac:dyDescent="0.35">
      <c r="A2" s="13">
        <v>44654</v>
      </c>
      <c r="B2" s="14">
        <v>3521.58</v>
      </c>
    </row>
    <row r="3" spans="1:5" x14ac:dyDescent="0.35">
      <c r="A3" s="13">
        <v>44655</v>
      </c>
      <c r="B3" s="14">
        <v>3520.97</v>
      </c>
    </row>
    <row r="4" spans="1:5" x14ac:dyDescent="0.35">
      <c r="A4" s="13">
        <v>44656</v>
      </c>
      <c r="B4" s="14">
        <v>3422.97</v>
      </c>
    </row>
    <row r="5" spans="1:5" x14ac:dyDescent="0.35">
      <c r="A5" s="13">
        <v>44657</v>
      </c>
      <c r="B5" s="14">
        <v>3171.37</v>
      </c>
    </row>
    <row r="6" spans="1:5" x14ac:dyDescent="0.35">
      <c r="A6" s="13">
        <v>44658</v>
      </c>
      <c r="B6" s="14">
        <v>3232.83</v>
      </c>
    </row>
    <row r="7" spans="1:5" x14ac:dyDescent="0.35">
      <c r="A7" s="13">
        <v>44659</v>
      </c>
      <c r="B7" s="14">
        <v>3192.03</v>
      </c>
    </row>
    <row r="8" spans="1:5" x14ac:dyDescent="0.35">
      <c r="A8" s="13">
        <v>44660</v>
      </c>
      <c r="B8" s="14">
        <v>3265.94</v>
      </c>
    </row>
    <row r="9" spans="1:5" x14ac:dyDescent="0.35">
      <c r="A9" s="13">
        <v>44661</v>
      </c>
      <c r="B9" s="14">
        <v>3219.16</v>
      </c>
    </row>
    <row r="10" spans="1:5" x14ac:dyDescent="0.35">
      <c r="A10" s="13">
        <v>44662</v>
      </c>
      <c r="B10" s="14">
        <v>2992.7</v>
      </c>
    </row>
    <row r="11" spans="1:5" x14ac:dyDescent="0.35">
      <c r="A11" s="13">
        <v>44663</v>
      </c>
      <c r="B11" s="14">
        <v>3038.21</v>
      </c>
    </row>
    <row r="12" spans="1:5" x14ac:dyDescent="0.35">
      <c r="A12" s="13">
        <v>44664</v>
      </c>
      <c r="B12" s="14">
        <v>3121.4</v>
      </c>
    </row>
    <row r="13" spans="1:5" x14ac:dyDescent="0.35">
      <c r="A13" s="13">
        <v>44665</v>
      </c>
      <c r="B13" s="14">
        <v>3023.42</v>
      </c>
    </row>
    <row r="14" spans="1:5" x14ac:dyDescent="0.35">
      <c r="A14" s="13">
        <v>44666</v>
      </c>
      <c r="B14" s="14">
        <v>3045.43</v>
      </c>
    </row>
    <row r="15" spans="1:5" x14ac:dyDescent="0.35">
      <c r="A15" s="13">
        <v>44667</v>
      </c>
      <c r="B15" s="14">
        <v>3066.36</v>
      </c>
    </row>
    <row r="16" spans="1:5" x14ac:dyDescent="0.35">
      <c r="A16" s="13">
        <v>44668</v>
      </c>
      <c r="B16" s="14">
        <v>2995.72</v>
      </c>
    </row>
    <row r="17" spans="1:2" x14ac:dyDescent="0.35">
      <c r="A17" s="13">
        <v>44669</v>
      </c>
      <c r="B17" s="14">
        <v>3061.89</v>
      </c>
    </row>
    <row r="18" spans="1:2" x14ac:dyDescent="0.35">
      <c r="A18" s="13">
        <v>44670</v>
      </c>
      <c r="B18" s="14">
        <v>3104.69</v>
      </c>
    </row>
    <row r="19" spans="1:2" x14ac:dyDescent="0.35">
      <c r="A19" s="13">
        <v>44671</v>
      </c>
      <c r="B19" s="14">
        <v>3079.68</v>
      </c>
    </row>
    <row r="20" spans="1:2" x14ac:dyDescent="0.35">
      <c r="A20" s="13">
        <v>44672</v>
      </c>
      <c r="B20" s="14">
        <v>2987.49</v>
      </c>
    </row>
    <row r="21" spans="1:2" x14ac:dyDescent="0.35">
      <c r="A21" s="13">
        <v>44673</v>
      </c>
      <c r="B21" s="14">
        <v>2967.09</v>
      </c>
    </row>
    <row r="22" spans="1:2" x14ac:dyDescent="0.35">
      <c r="A22" s="13">
        <v>44674</v>
      </c>
      <c r="B22" s="14">
        <v>2940.69</v>
      </c>
    </row>
    <row r="23" spans="1:2" x14ac:dyDescent="0.35">
      <c r="A23" s="13">
        <v>44675</v>
      </c>
      <c r="B23" s="14">
        <v>2922.9</v>
      </c>
    </row>
    <row r="24" spans="1:2" x14ac:dyDescent="0.35">
      <c r="A24" s="13">
        <v>44676</v>
      </c>
      <c r="B24" s="14">
        <v>3008.34</v>
      </c>
    </row>
    <row r="25" spans="1:2" x14ac:dyDescent="0.35">
      <c r="A25" s="13">
        <v>44677</v>
      </c>
      <c r="B25" s="14">
        <v>2806.75</v>
      </c>
    </row>
    <row r="26" spans="1:2" x14ac:dyDescent="0.35">
      <c r="A26" s="13">
        <v>44678</v>
      </c>
      <c r="B26" s="14">
        <v>2889.59</v>
      </c>
    </row>
    <row r="27" spans="1:2" x14ac:dyDescent="0.35">
      <c r="A27" s="13">
        <v>44679</v>
      </c>
      <c r="B27" s="14">
        <v>2932.46</v>
      </c>
    </row>
    <row r="28" spans="1:2" x14ac:dyDescent="0.35">
      <c r="A28" s="13">
        <v>44680</v>
      </c>
      <c r="B28" s="14">
        <v>2817.49</v>
      </c>
    </row>
    <row r="29" spans="1:2" x14ac:dyDescent="0.35">
      <c r="A29" s="13">
        <v>44681</v>
      </c>
      <c r="B29" s="14">
        <v>2738.17</v>
      </c>
    </row>
    <row r="30" spans="1:2" x14ac:dyDescent="0.35">
      <c r="A30" s="13">
        <v>44682</v>
      </c>
      <c r="B30" s="14">
        <v>2832.51</v>
      </c>
    </row>
    <row r="31" spans="1:2" x14ac:dyDescent="0.35">
      <c r="A31" s="13">
        <v>44683</v>
      </c>
      <c r="B31" s="14">
        <v>2861.37</v>
      </c>
    </row>
    <row r="32" spans="1:2" x14ac:dyDescent="0.35">
      <c r="A32" s="13">
        <v>44684</v>
      </c>
      <c r="B32" s="14">
        <v>2786.05</v>
      </c>
    </row>
    <row r="33" spans="1:2" x14ac:dyDescent="0.35">
      <c r="A33" s="13">
        <v>44685</v>
      </c>
      <c r="B33" s="14">
        <v>2942.05</v>
      </c>
    </row>
    <row r="34" spans="1:2" x14ac:dyDescent="0.35">
      <c r="A34" s="13">
        <v>44686</v>
      </c>
      <c r="B34" s="14">
        <v>2753.94</v>
      </c>
    </row>
    <row r="35" spans="1:2" x14ac:dyDescent="0.35">
      <c r="A35" s="13">
        <v>44687</v>
      </c>
      <c r="B35" s="14">
        <v>2699.71</v>
      </c>
    </row>
    <row r="36" spans="1:2" x14ac:dyDescent="0.35">
      <c r="A36" s="13">
        <v>44688</v>
      </c>
      <c r="B36" s="14">
        <v>2641.23</v>
      </c>
    </row>
    <row r="37" spans="1:2" x14ac:dyDescent="0.35">
      <c r="A37" s="13">
        <v>44689</v>
      </c>
      <c r="B37" s="14">
        <v>2517.83</v>
      </c>
    </row>
    <row r="38" spans="1:2" x14ac:dyDescent="0.35">
      <c r="A38" s="13">
        <v>44690</v>
      </c>
      <c r="B38" s="14">
        <v>2249.89</v>
      </c>
    </row>
    <row r="39" spans="1:2" x14ac:dyDescent="0.35">
      <c r="A39" s="13">
        <v>44691</v>
      </c>
      <c r="B39" s="14">
        <v>2344.8000000000002</v>
      </c>
    </row>
    <row r="40" spans="1:2" x14ac:dyDescent="0.35">
      <c r="A40" s="13">
        <v>44692</v>
      </c>
      <c r="B40" s="14">
        <v>2080.91</v>
      </c>
    </row>
    <row r="41" spans="1:2" x14ac:dyDescent="0.35">
      <c r="A41" s="13">
        <v>44693</v>
      </c>
      <c r="B41" s="14">
        <v>1966.7</v>
      </c>
    </row>
    <row r="42" spans="1:2" x14ac:dyDescent="0.35">
      <c r="A42" s="13">
        <v>44694</v>
      </c>
      <c r="B42" s="14">
        <v>2010.21</v>
      </c>
    </row>
    <row r="43" spans="1:2" x14ac:dyDescent="0.35">
      <c r="A43" s="13">
        <v>44695</v>
      </c>
      <c r="B43" s="14">
        <v>2064.23</v>
      </c>
    </row>
    <row r="44" spans="1:2" x14ac:dyDescent="0.35">
      <c r="A44" s="13">
        <v>44696</v>
      </c>
      <c r="B44" s="14">
        <v>2147.0500000000002</v>
      </c>
    </row>
    <row r="45" spans="1:2" x14ac:dyDescent="0.35">
      <c r="A45" s="13">
        <v>44697</v>
      </c>
      <c r="B45" s="14">
        <v>2025.89</v>
      </c>
    </row>
    <row r="46" spans="1:2" x14ac:dyDescent="0.35">
      <c r="A46" s="13">
        <v>44698</v>
      </c>
      <c r="B46" s="14">
        <v>2095.1799999999998</v>
      </c>
    </row>
    <row r="47" spans="1:2" x14ac:dyDescent="0.35">
      <c r="A47" s="13">
        <v>44699</v>
      </c>
      <c r="B47" s="14">
        <v>1915.18</v>
      </c>
    </row>
    <row r="48" spans="1:2" x14ac:dyDescent="0.35">
      <c r="A48" s="13">
        <v>44700</v>
      </c>
      <c r="B48" s="14">
        <v>2023.85</v>
      </c>
    </row>
    <row r="49" spans="1:5" x14ac:dyDescent="0.35">
      <c r="A49" s="13">
        <v>44701</v>
      </c>
      <c r="B49" s="14">
        <v>1963.99</v>
      </c>
    </row>
    <row r="50" spans="1:5" x14ac:dyDescent="0.35">
      <c r="A50" s="13">
        <v>44702</v>
      </c>
      <c r="B50" s="14">
        <v>1978.15</v>
      </c>
    </row>
    <row r="51" spans="1:5" x14ac:dyDescent="0.35">
      <c r="A51" s="13">
        <v>44703</v>
      </c>
      <c r="B51" s="14">
        <v>2046.65</v>
      </c>
    </row>
    <row r="52" spans="1:5" x14ac:dyDescent="0.35">
      <c r="A52" s="13">
        <v>44704</v>
      </c>
      <c r="B52" s="14">
        <v>1974.58</v>
      </c>
    </row>
    <row r="53" spans="1:5" x14ac:dyDescent="0.35">
      <c r="A53" s="13">
        <v>44705</v>
      </c>
      <c r="B53" s="14">
        <v>1979.77</v>
      </c>
    </row>
    <row r="54" spans="1:5" x14ac:dyDescent="0.35">
      <c r="A54" s="13">
        <v>44706</v>
      </c>
      <c r="B54" s="14">
        <v>1944.84</v>
      </c>
    </row>
    <row r="55" spans="1:5" x14ac:dyDescent="0.35">
      <c r="A55" s="13">
        <v>44707</v>
      </c>
      <c r="B55" s="14">
        <v>1807.97</v>
      </c>
    </row>
    <row r="56" spans="1:5" x14ac:dyDescent="0.35">
      <c r="A56" s="13">
        <v>44708</v>
      </c>
      <c r="B56" s="14">
        <v>1724.88</v>
      </c>
    </row>
    <row r="57" spans="1:5" x14ac:dyDescent="0.35">
      <c r="A57" s="13">
        <v>44709</v>
      </c>
      <c r="B57" s="14">
        <v>1798.69</v>
      </c>
    </row>
    <row r="58" spans="1:5" x14ac:dyDescent="0.35">
      <c r="A58" s="13">
        <v>44710</v>
      </c>
      <c r="B58" s="14">
        <v>1814.98</v>
      </c>
    </row>
    <row r="59" spans="1:5" x14ac:dyDescent="0.35">
      <c r="A59" s="13">
        <v>44711</v>
      </c>
      <c r="B59" s="14">
        <v>1995.94</v>
      </c>
    </row>
    <row r="60" spans="1:5" x14ac:dyDescent="0.35">
      <c r="A60" s="13">
        <v>44712</v>
      </c>
      <c r="B60" s="14">
        <v>1944.08</v>
      </c>
      <c r="C60" s="14">
        <v>1944.08</v>
      </c>
      <c r="D60" s="14">
        <v>1944.08</v>
      </c>
      <c r="E60" s="14">
        <v>1944.08</v>
      </c>
    </row>
    <row r="61" spans="1:5" x14ac:dyDescent="0.35">
      <c r="A61" s="13">
        <v>44713</v>
      </c>
      <c r="C61" s="14">
        <f t="shared" ref="C61:C91" si="0">_xlfn.FORECAST.ETS(A61,$B$2:$B$60,$A$2:$A$60,1,1)</f>
        <v>1914.3477258912917</v>
      </c>
      <c r="D61" s="14">
        <f t="shared" ref="D61:D91" si="1">C61-_xlfn.FORECAST.ETS.CONFINT(A61,$B$2:$B$60,$A$2:$A$60,0.95,1,1)</f>
        <v>1705.5261037650439</v>
      </c>
      <c r="E61" s="14">
        <f t="shared" ref="E61:E91" si="2">C61+_xlfn.FORECAST.ETS.CONFINT(A61,$B$2:$B$60,$A$2:$A$60,0.95,1,1)</f>
        <v>2123.1693480175395</v>
      </c>
    </row>
    <row r="62" spans="1:5" x14ac:dyDescent="0.35">
      <c r="A62" s="13">
        <v>44714</v>
      </c>
      <c r="C62" s="14">
        <f t="shared" si="0"/>
        <v>1884.6154517825835</v>
      </c>
      <c r="D62" s="14">
        <f t="shared" si="1"/>
        <v>1633.5271642861806</v>
      </c>
      <c r="E62" s="14">
        <f t="shared" si="2"/>
        <v>2135.7037392789862</v>
      </c>
    </row>
    <row r="63" spans="1:5" x14ac:dyDescent="0.35">
      <c r="A63" s="13">
        <v>44715</v>
      </c>
      <c r="C63" s="14">
        <f t="shared" si="0"/>
        <v>1854.8831776738753</v>
      </c>
      <c r="D63" s="14">
        <f t="shared" si="1"/>
        <v>1567.5811429149494</v>
      </c>
      <c r="E63" s="14">
        <f t="shared" si="2"/>
        <v>2142.1852124328011</v>
      </c>
    </row>
    <row r="64" spans="1:5" x14ac:dyDescent="0.35">
      <c r="A64" s="13">
        <v>44716</v>
      </c>
      <c r="C64" s="14">
        <f t="shared" si="0"/>
        <v>1825.150903565167</v>
      </c>
      <c r="D64" s="14">
        <f t="shared" si="1"/>
        <v>1505.6232048337342</v>
      </c>
      <c r="E64" s="14">
        <f t="shared" si="2"/>
        <v>2144.6786022965998</v>
      </c>
    </row>
    <row r="65" spans="1:5" x14ac:dyDescent="0.35">
      <c r="A65" s="13">
        <v>44717</v>
      </c>
      <c r="C65" s="14">
        <f t="shared" si="0"/>
        <v>1795.4186294564588</v>
      </c>
      <c r="D65" s="14">
        <f t="shared" si="1"/>
        <v>1446.546319619787</v>
      </c>
      <c r="E65" s="14">
        <f t="shared" si="2"/>
        <v>2144.2909392931306</v>
      </c>
    </row>
    <row r="66" spans="1:5" x14ac:dyDescent="0.35">
      <c r="A66" s="13">
        <v>44718</v>
      </c>
      <c r="C66" s="14">
        <f t="shared" si="0"/>
        <v>1765.6863553477506</v>
      </c>
      <c r="D66" s="14">
        <f t="shared" si="1"/>
        <v>1389.6752367195013</v>
      </c>
      <c r="E66" s="14">
        <f t="shared" si="2"/>
        <v>2141.6974739759999</v>
      </c>
    </row>
    <row r="67" spans="1:5" x14ac:dyDescent="0.35">
      <c r="A67" s="13">
        <v>44719</v>
      </c>
      <c r="C67" s="14">
        <f t="shared" si="0"/>
        <v>1735.9540812390424</v>
      </c>
      <c r="D67" s="14">
        <f t="shared" si="1"/>
        <v>1334.5621832722015</v>
      </c>
      <c r="E67" s="14">
        <f t="shared" si="2"/>
        <v>2137.3459792058834</v>
      </c>
    </row>
    <row r="68" spans="1:5" x14ac:dyDescent="0.35">
      <c r="A68" s="13">
        <v>44720</v>
      </c>
      <c r="C68" s="14">
        <f t="shared" si="0"/>
        <v>1706.2218071303341</v>
      </c>
      <c r="D68" s="14">
        <f t="shared" si="1"/>
        <v>1280.8922184020391</v>
      </c>
      <c r="E68" s="14">
        <f t="shared" si="2"/>
        <v>2131.5513958586293</v>
      </c>
    </row>
    <row r="69" spans="1:5" x14ac:dyDescent="0.35">
      <c r="A69" s="13">
        <v>44721</v>
      </c>
      <c r="C69" s="14">
        <f t="shared" si="0"/>
        <v>1676.4895330216259</v>
      </c>
      <c r="D69" s="14">
        <f t="shared" si="1"/>
        <v>1228.4338909099783</v>
      </c>
      <c r="E69" s="14">
        <f t="shared" si="2"/>
        <v>2124.5451751332735</v>
      </c>
    </row>
    <row r="70" spans="1:5" x14ac:dyDescent="0.35">
      <c r="A70" s="13">
        <v>44722</v>
      </c>
      <c r="C70" s="14">
        <f t="shared" si="0"/>
        <v>1646.7572589129177</v>
      </c>
      <c r="D70" s="14">
        <f t="shared" si="1"/>
        <v>1177.0112199649955</v>
      </c>
      <c r="E70" s="14">
        <f t="shared" si="2"/>
        <v>2116.5032978608401</v>
      </c>
    </row>
    <row r="71" spans="1:5" x14ac:dyDescent="0.35">
      <c r="A71" s="13">
        <v>44723</v>
      </c>
      <c r="C71" s="14">
        <f t="shared" si="0"/>
        <v>1617.0249848042095</v>
      </c>
      <c r="D71" s="14">
        <f t="shared" si="1"/>
        <v>1126.4867148412363</v>
      </c>
      <c r="E71" s="14">
        <f t="shared" si="2"/>
        <v>2107.5632547671826</v>
      </c>
    </row>
    <row r="72" spans="1:5" x14ac:dyDescent="0.35">
      <c r="A72" s="13">
        <v>44724</v>
      </c>
      <c r="C72" s="14">
        <f t="shared" si="0"/>
        <v>1587.2927106955012</v>
      </c>
      <c r="D72" s="14">
        <f t="shared" si="1"/>
        <v>1076.7505427857077</v>
      </c>
      <c r="E72" s="14">
        <f t="shared" si="2"/>
        <v>2097.8348786052948</v>
      </c>
    </row>
    <row r="73" spans="1:5" x14ac:dyDescent="0.35">
      <c r="A73" s="13">
        <v>44725</v>
      </c>
      <c r="C73" s="14">
        <f t="shared" si="0"/>
        <v>1557.560436586793</v>
      </c>
      <c r="D73" s="14">
        <f t="shared" si="1"/>
        <v>1027.7133255561689</v>
      </c>
      <c r="E73" s="14">
        <f t="shared" si="2"/>
        <v>2087.4075476174171</v>
      </c>
    </row>
    <row r="74" spans="1:5" x14ac:dyDescent="0.35">
      <c r="A74" s="13">
        <v>44726</v>
      </c>
      <c r="C74" s="14">
        <f t="shared" si="0"/>
        <v>1527.8281624780848</v>
      </c>
      <c r="D74" s="14">
        <f t="shared" si="1"/>
        <v>979.30118130796427</v>
      </c>
      <c r="E74" s="14">
        <f t="shared" si="2"/>
        <v>2076.3551436482053</v>
      </c>
    </row>
    <row r="75" spans="1:5" x14ac:dyDescent="0.35">
      <c r="A75" s="13">
        <v>44727</v>
      </c>
      <c r="C75" s="14">
        <f t="shared" si="0"/>
        <v>1498.0958883693766</v>
      </c>
      <c r="D75" s="14">
        <f t="shared" si="1"/>
        <v>931.45221158537356</v>
      </c>
      <c r="E75" s="14">
        <f t="shared" si="2"/>
        <v>2064.7395651533798</v>
      </c>
    </row>
    <row r="76" spans="1:5" x14ac:dyDescent="0.35">
      <c r="A76" s="13">
        <v>44728</v>
      </c>
      <c r="C76" s="14">
        <f t="shared" si="0"/>
        <v>1468.3636142606683</v>
      </c>
      <c r="D76" s="14">
        <f t="shared" si="1"/>
        <v>884.11394983329183</v>
      </c>
      <c r="E76" s="14">
        <f t="shared" si="2"/>
        <v>2052.6132786880448</v>
      </c>
    </row>
    <row r="77" spans="1:5" x14ac:dyDescent="0.35">
      <c r="A77" s="13">
        <v>44729</v>
      </c>
      <c r="C77" s="14">
        <f t="shared" si="0"/>
        <v>1438.6313401519601</v>
      </c>
      <c r="D77" s="14">
        <f t="shared" si="1"/>
        <v>837.24146817441294</v>
      </c>
      <c r="E77" s="14">
        <f t="shared" si="2"/>
        <v>2040.0212121295071</v>
      </c>
    </row>
    <row r="78" spans="1:5" x14ac:dyDescent="0.35">
      <c r="A78" s="13">
        <v>44730</v>
      </c>
      <c r="C78" s="14">
        <f t="shared" si="0"/>
        <v>1408.8990660432519</v>
      </c>
      <c r="D78" s="14">
        <f t="shared" si="1"/>
        <v>790.79594612454537</v>
      </c>
      <c r="E78" s="14">
        <f t="shared" si="2"/>
        <v>2027.0021859619583</v>
      </c>
    </row>
    <row r="79" spans="1:5" x14ac:dyDescent="0.35">
      <c r="A79" s="13">
        <v>44731</v>
      </c>
      <c r="C79" s="14">
        <f t="shared" si="0"/>
        <v>1379.1667919345437</v>
      </c>
      <c r="D79" s="14">
        <f t="shared" si="1"/>
        <v>744.74357057151155</v>
      </c>
      <c r="E79" s="14">
        <f t="shared" si="2"/>
        <v>2013.5900132975758</v>
      </c>
    </row>
    <row r="80" spans="1:5" x14ac:dyDescent="0.35">
      <c r="A80" s="13">
        <v>44732</v>
      </c>
      <c r="C80" s="14">
        <f t="shared" si="0"/>
        <v>1349.4345178258354</v>
      </c>
      <c r="D80" s="14">
        <f t="shared" si="1"/>
        <v>699.05467789817112</v>
      </c>
      <c r="E80" s="14">
        <f t="shared" si="2"/>
        <v>1999.8143577534997</v>
      </c>
    </row>
    <row r="81" spans="1:5" x14ac:dyDescent="0.35">
      <c r="A81" s="13">
        <v>44733</v>
      </c>
      <c r="C81" s="14">
        <f t="shared" si="0"/>
        <v>1319.7022437171272</v>
      </c>
      <c r="D81" s="14">
        <f t="shared" si="1"/>
        <v>653.70307614614546</v>
      </c>
      <c r="E81" s="14">
        <f t="shared" si="2"/>
        <v>1985.7014112881088</v>
      </c>
    </row>
    <row r="82" spans="1:5" x14ac:dyDescent="0.35">
      <c r="A82" s="13">
        <v>44734</v>
      </c>
      <c r="C82" s="14">
        <f t="shared" si="0"/>
        <v>1289.969969608419</v>
      </c>
      <c r="D82" s="14">
        <f t="shared" si="1"/>
        <v>608.66550310294701</v>
      </c>
      <c r="E82" s="14">
        <f t="shared" si="2"/>
        <v>1971.2744361138909</v>
      </c>
    </row>
    <row r="83" spans="1:5" x14ac:dyDescent="0.35">
      <c r="A83" s="13">
        <v>44735</v>
      </c>
      <c r="C83" s="14">
        <f t="shared" si="0"/>
        <v>1260.2376954997108</v>
      </c>
      <c r="D83" s="14">
        <f t="shared" si="1"/>
        <v>563.92118842662023</v>
      </c>
      <c r="E83" s="14">
        <f t="shared" si="2"/>
        <v>1956.5542025728014</v>
      </c>
    </row>
    <row r="84" spans="1:5" x14ac:dyDescent="0.35">
      <c r="A84" s="13">
        <v>44736</v>
      </c>
      <c r="C84" s="14">
        <f t="shared" si="0"/>
        <v>1230.5054213910025</v>
      </c>
      <c r="D84" s="14">
        <f t="shared" si="1"/>
        <v>519.45149640030877</v>
      </c>
      <c r="E84" s="14">
        <f t="shared" si="2"/>
        <v>1941.5593463816963</v>
      </c>
    </row>
    <row r="85" spans="1:5" x14ac:dyDescent="0.35">
      <c r="A85" s="13">
        <v>44737</v>
      </c>
      <c r="C85" s="14">
        <f t="shared" si="0"/>
        <v>1200.7731472822943</v>
      </c>
      <c r="D85" s="14">
        <f t="shared" si="1"/>
        <v>475.23963188838013</v>
      </c>
      <c r="E85" s="14">
        <f t="shared" si="2"/>
        <v>1926.3066626762084</v>
      </c>
    </row>
    <row r="86" spans="1:5" x14ac:dyDescent="0.35">
      <c r="A86" s="13">
        <v>44738</v>
      </c>
      <c r="C86" s="14">
        <f t="shared" si="0"/>
        <v>1171.0408731735861</v>
      </c>
      <c r="D86" s="14">
        <f t="shared" si="1"/>
        <v>431.27039634922085</v>
      </c>
      <c r="E86" s="14">
        <f t="shared" si="2"/>
        <v>1910.8113499979513</v>
      </c>
    </row>
    <row r="87" spans="1:5" x14ac:dyDescent="0.35">
      <c r="A87" s="13">
        <v>44739</v>
      </c>
      <c r="C87" s="14">
        <f t="shared" si="0"/>
        <v>1141.3085990648779</v>
      </c>
      <c r="D87" s="14">
        <f t="shared" si="1"/>
        <v>387.52998387278853</v>
      </c>
      <c r="E87" s="14">
        <f t="shared" si="2"/>
        <v>1895.0872142569672</v>
      </c>
    </row>
    <row r="88" spans="1:5" x14ac:dyDescent="0.35">
      <c r="A88" s="13">
        <v>44740</v>
      </c>
      <c r="C88" s="14">
        <f t="shared" si="0"/>
        <v>1111.5763249561696</v>
      </c>
      <c r="D88" s="14">
        <f t="shared" si="1"/>
        <v>344.00580950325286</v>
      </c>
      <c r="E88" s="14">
        <f t="shared" si="2"/>
        <v>1879.1468404090865</v>
      </c>
    </row>
    <row r="89" spans="1:5" x14ac:dyDescent="0.35">
      <c r="A89" s="13">
        <v>44741</v>
      </c>
      <c r="C89" s="14">
        <f t="shared" si="0"/>
        <v>1081.8440508474614</v>
      </c>
      <c r="D89" s="14">
        <f t="shared" si="1"/>
        <v>300.68636381548606</v>
      </c>
      <c r="E89" s="14">
        <f t="shared" si="2"/>
        <v>1863.0017378794369</v>
      </c>
    </row>
    <row r="90" spans="1:5" x14ac:dyDescent="0.35">
      <c r="A90" s="13">
        <v>44742</v>
      </c>
      <c r="C90" s="14">
        <f t="shared" si="0"/>
        <v>1052.1117767387532</v>
      </c>
      <c r="D90" s="14">
        <f t="shared" si="1"/>
        <v>257.56108900177105</v>
      </c>
      <c r="E90" s="14">
        <f t="shared" si="2"/>
        <v>1846.6624644757353</v>
      </c>
    </row>
    <row r="91" spans="1:5" x14ac:dyDescent="0.35">
      <c r="A91" s="13">
        <v>44743</v>
      </c>
      <c r="C91" s="14">
        <f t="shared" si="0"/>
        <v>1022.379502630045</v>
      </c>
      <c r="D91" s="14">
        <f t="shared" si="1"/>
        <v>214.62027270562385</v>
      </c>
      <c r="E91" s="14">
        <f t="shared" si="2"/>
        <v>1830.1387325544661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44C55-3500-4F3E-95F9-70555AB2C66E}">
  <dimension ref="A1:P60"/>
  <sheetViews>
    <sheetView tabSelected="1" zoomScaleNormal="100" workbookViewId="0">
      <selection activeCell="E1" activeCellId="2" sqref="A1:A1048576 C1:C1048576 E1:E1048576"/>
    </sheetView>
  </sheetViews>
  <sheetFormatPr defaultRowHeight="14.5" x14ac:dyDescent="0.35"/>
  <cols>
    <col min="1" max="1" width="8.81640625" bestFit="1" customWidth="1"/>
    <col min="2" max="2" width="14.08984375" style="23" bestFit="1" customWidth="1"/>
    <col min="3" max="3" width="13.1796875" style="23" bestFit="1" customWidth="1"/>
    <col min="4" max="4" width="5.81640625" style="23" bestFit="1" customWidth="1"/>
    <col min="5" max="5" width="6.26953125" style="23" bestFit="1" customWidth="1"/>
    <col min="7" max="7" width="6.7265625" style="25" bestFit="1" customWidth="1"/>
    <col min="8" max="8" width="6.26953125" bestFit="1" customWidth="1"/>
    <col min="9" max="9" width="14.26953125" bestFit="1" customWidth="1"/>
    <col min="11" max="11" width="20" bestFit="1" customWidth="1"/>
    <col min="12" max="12" width="18.1796875" bestFit="1" customWidth="1"/>
  </cols>
  <sheetData>
    <row r="1" spans="1:16" ht="26" x14ac:dyDescent="0.35">
      <c r="A1" s="9" t="s">
        <v>2</v>
      </c>
      <c r="B1" s="21" t="s">
        <v>0</v>
      </c>
      <c r="C1" s="21" t="s">
        <v>1</v>
      </c>
      <c r="D1" s="21" t="s">
        <v>3</v>
      </c>
      <c r="E1" s="21" t="s">
        <v>28</v>
      </c>
      <c r="G1" s="24" t="s">
        <v>57</v>
      </c>
      <c r="H1" s="21" t="s">
        <v>58</v>
      </c>
      <c r="I1" s="21" t="s">
        <v>59</v>
      </c>
    </row>
    <row r="2" spans="1:16" x14ac:dyDescent="0.35">
      <c r="A2" s="1">
        <v>44654</v>
      </c>
      <c r="B2" s="22">
        <v>413595262456</v>
      </c>
      <c r="C2" s="22">
        <v>22091140765</v>
      </c>
      <c r="D2" s="22">
        <v>3440.34</v>
      </c>
      <c r="E2" s="22">
        <v>3521.58</v>
      </c>
    </row>
    <row r="3" spans="1:16" x14ac:dyDescent="0.35">
      <c r="A3" s="1">
        <v>44655</v>
      </c>
      <c r="B3" s="22">
        <v>423410516390</v>
      </c>
      <c r="C3" s="22">
        <v>14019828281</v>
      </c>
      <c r="D3" s="22">
        <v>3521.58</v>
      </c>
      <c r="E3" s="22">
        <v>3520.97</v>
      </c>
      <c r="G3" s="32">
        <f>E3/E2-1</f>
        <v>-1.7321770341727216E-4</v>
      </c>
    </row>
    <row r="4" spans="1:16" x14ac:dyDescent="0.35">
      <c r="A4" s="1">
        <v>44656</v>
      </c>
      <c r="B4" s="22">
        <v>423367935035</v>
      </c>
      <c r="C4" s="22">
        <v>16925919014</v>
      </c>
      <c r="D4" s="22">
        <v>3520.97</v>
      </c>
      <c r="E4" s="22">
        <v>3422.97</v>
      </c>
      <c r="G4" s="25">
        <f t="shared" ref="G4:G60" si="0">E4/E3-1</f>
        <v>-2.7833239135806376E-2</v>
      </c>
    </row>
    <row r="5" spans="1:16" x14ac:dyDescent="0.35">
      <c r="A5" s="1">
        <v>44657</v>
      </c>
      <c r="B5" s="22">
        <v>412944890808</v>
      </c>
      <c r="C5" s="22">
        <v>15114055502</v>
      </c>
      <c r="D5" s="22">
        <v>3422.97</v>
      </c>
      <c r="E5" s="22">
        <v>3171.37</v>
      </c>
      <c r="G5" s="25">
        <f t="shared" si="0"/>
        <v>-7.3503419545014936E-2</v>
      </c>
      <c r="K5" s="26" t="s">
        <v>61</v>
      </c>
      <c r="L5" s="26">
        <f>COUNT(A:A)</f>
        <v>59</v>
      </c>
    </row>
    <row r="6" spans="1:16" x14ac:dyDescent="0.35">
      <c r="A6" s="1">
        <v>44658</v>
      </c>
      <c r="B6" s="22">
        <v>382808702034</v>
      </c>
      <c r="C6" s="22">
        <v>26109763335</v>
      </c>
      <c r="D6" s="22">
        <v>3171.37</v>
      </c>
      <c r="E6" s="22">
        <v>3232.83</v>
      </c>
      <c r="G6" s="25">
        <f t="shared" si="0"/>
        <v>1.9379637191497601E-2</v>
      </c>
      <c r="K6" s="26" t="s">
        <v>66</v>
      </c>
      <c r="L6" s="27">
        <f>MAX(E2:E60)</f>
        <v>3521.58</v>
      </c>
    </row>
    <row r="7" spans="1:16" x14ac:dyDescent="0.35">
      <c r="A7" s="1">
        <v>44659</v>
      </c>
      <c r="B7" s="22">
        <v>388867320187</v>
      </c>
      <c r="C7" s="22">
        <v>16149775915</v>
      </c>
      <c r="D7" s="22">
        <v>3232.83</v>
      </c>
      <c r="E7" s="22">
        <v>3192.03</v>
      </c>
      <c r="G7" s="25">
        <f t="shared" si="0"/>
        <v>-1.2620521338888802E-2</v>
      </c>
      <c r="K7" s="26" t="s">
        <v>67</v>
      </c>
      <c r="L7" s="27">
        <f>MIN(E2:E60)</f>
        <v>1724.88</v>
      </c>
    </row>
    <row r="8" spans="1:16" x14ac:dyDescent="0.35">
      <c r="A8" s="1">
        <v>44660</v>
      </c>
      <c r="B8" s="22">
        <v>382662893229</v>
      </c>
      <c r="C8" s="22">
        <v>17523939555</v>
      </c>
      <c r="D8" s="22">
        <v>3192.03</v>
      </c>
      <c r="E8" s="22">
        <v>3265.94</v>
      </c>
      <c r="G8" s="25">
        <f t="shared" si="0"/>
        <v>2.3154544286864365E-2</v>
      </c>
      <c r="K8" s="26" t="s">
        <v>65</v>
      </c>
      <c r="L8" s="31">
        <f>(E60-L6)/L6</f>
        <v>-0.44795233957484992</v>
      </c>
    </row>
    <row r="9" spans="1:16" x14ac:dyDescent="0.35">
      <c r="A9" s="1">
        <v>44661</v>
      </c>
      <c r="B9" s="22">
        <v>392551461531</v>
      </c>
      <c r="C9" s="22">
        <v>9316769844</v>
      </c>
      <c r="D9" s="22">
        <v>3265.94</v>
      </c>
      <c r="E9" s="22">
        <v>3219.16</v>
      </c>
      <c r="G9" s="25">
        <f t="shared" si="0"/>
        <v>-1.4323594432230857E-2</v>
      </c>
      <c r="K9" s="26" t="s">
        <v>71</v>
      </c>
      <c r="L9" s="28">
        <f>(E60-L7)/L7</f>
        <v>0.12708130420666933</v>
      </c>
    </row>
    <row r="10" spans="1:16" x14ac:dyDescent="0.35">
      <c r="A10" s="1">
        <v>44662</v>
      </c>
      <c r="B10" s="22">
        <v>388982079663</v>
      </c>
      <c r="C10" s="22">
        <v>10005373137</v>
      </c>
      <c r="D10" s="22">
        <v>3219.16</v>
      </c>
      <c r="E10" s="22">
        <v>2992.7</v>
      </c>
      <c r="G10" s="25">
        <f t="shared" si="0"/>
        <v>-7.0347544079822133E-2</v>
      </c>
    </row>
    <row r="11" spans="1:16" x14ac:dyDescent="0.35">
      <c r="A11" s="1">
        <v>44663</v>
      </c>
      <c r="B11" s="22">
        <v>360149250762</v>
      </c>
      <c r="C11" s="22">
        <v>21142997360</v>
      </c>
      <c r="D11" s="22">
        <v>2992.7</v>
      </c>
      <c r="E11" s="22">
        <v>3038.21</v>
      </c>
      <c r="G11" s="25">
        <f t="shared" si="0"/>
        <v>1.520700370902528E-2</v>
      </c>
      <c r="K11" s="29" t="s">
        <v>68</v>
      </c>
      <c r="L11" s="29"/>
      <c r="M11" s="29"/>
      <c r="N11" s="29"/>
      <c r="O11" s="29"/>
      <c r="P11" s="29"/>
    </row>
    <row r="12" spans="1:16" x14ac:dyDescent="0.35">
      <c r="A12" s="1">
        <v>44664</v>
      </c>
      <c r="B12" s="22">
        <v>365661388411</v>
      </c>
      <c r="C12" s="22">
        <v>18977679664</v>
      </c>
      <c r="D12" s="22">
        <v>3038.21</v>
      </c>
      <c r="E12" s="22">
        <v>3121.4</v>
      </c>
      <c r="G12" s="25">
        <f t="shared" si="0"/>
        <v>2.7381254093693297E-2</v>
      </c>
      <c r="K12" s="29" t="s">
        <v>69</v>
      </c>
      <c r="L12" s="29"/>
      <c r="M12" s="29"/>
      <c r="N12" s="29"/>
      <c r="O12" s="29"/>
      <c r="P12" s="29"/>
    </row>
    <row r="13" spans="1:16" x14ac:dyDescent="0.35">
      <c r="A13" s="1">
        <v>44665</v>
      </c>
      <c r="B13" s="22">
        <v>375767680796</v>
      </c>
      <c r="C13" s="22">
        <v>15452917855</v>
      </c>
      <c r="D13" s="22">
        <v>3121.4</v>
      </c>
      <c r="E13" s="22">
        <v>3023.42</v>
      </c>
      <c r="G13" s="25">
        <f t="shared" si="0"/>
        <v>-3.1389761004677386E-2</v>
      </c>
    </row>
    <row r="14" spans="1:16" x14ac:dyDescent="0.35">
      <c r="A14" s="1">
        <v>44666</v>
      </c>
      <c r="B14" s="22">
        <v>363962080918</v>
      </c>
      <c r="C14" s="22">
        <v>15895586505</v>
      </c>
      <c r="D14" s="22">
        <v>3023.42</v>
      </c>
      <c r="E14" s="22">
        <v>3045.43</v>
      </c>
      <c r="G14" s="25">
        <f t="shared" si="0"/>
        <v>7.2798354181686786E-3</v>
      </c>
    </row>
    <row r="15" spans="1:16" x14ac:dyDescent="0.35">
      <c r="A15" s="1">
        <v>44667</v>
      </c>
      <c r="B15" s="22">
        <v>366695398817</v>
      </c>
      <c r="C15" s="22">
        <v>12543243551</v>
      </c>
      <c r="D15" s="22">
        <v>3045.43</v>
      </c>
      <c r="E15" s="22">
        <v>3066.36</v>
      </c>
      <c r="G15" s="25">
        <f t="shared" si="0"/>
        <v>6.8725927044785973E-3</v>
      </c>
      <c r="K15" s="26" t="s">
        <v>62</v>
      </c>
      <c r="L15" s="27">
        <f>MAX(C6:C64)</f>
        <v>46548009611</v>
      </c>
    </row>
    <row r="16" spans="1:16" x14ac:dyDescent="0.35">
      <c r="A16" s="1">
        <v>44668</v>
      </c>
      <c r="B16" s="22">
        <v>369787917597</v>
      </c>
      <c r="C16" s="22">
        <v>9063939048</v>
      </c>
      <c r="D16" s="22">
        <v>3066.36</v>
      </c>
      <c r="E16" s="22">
        <v>2995.72</v>
      </c>
      <c r="G16" s="25">
        <f t="shared" si="0"/>
        <v>-2.3037086317327482E-2</v>
      </c>
      <c r="K16" s="26" t="s">
        <v>63</v>
      </c>
      <c r="L16" s="27">
        <f>MIN(C6:C64)</f>
        <v>7551508571</v>
      </c>
    </row>
    <row r="17" spans="1:12" x14ac:dyDescent="0.35">
      <c r="A17" s="1">
        <v>44669</v>
      </c>
      <c r="B17" s="22">
        <v>360748880963</v>
      </c>
      <c r="C17" s="22">
        <v>9543306566</v>
      </c>
      <c r="D17" s="22">
        <v>2995.72</v>
      </c>
      <c r="E17" s="22">
        <v>3061.89</v>
      </c>
      <c r="G17" s="25">
        <f t="shared" si="0"/>
        <v>2.208817913556671E-2</v>
      </c>
      <c r="K17" s="26" t="s">
        <v>70</v>
      </c>
      <c r="L17" s="31">
        <f>E60/D2-1</f>
        <v>-0.43491631641058737</v>
      </c>
    </row>
    <row r="18" spans="1:12" x14ac:dyDescent="0.35">
      <c r="A18" s="1">
        <v>44670</v>
      </c>
      <c r="B18" s="22">
        <v>368758484170</v>
      </c>
      <c r="C18" s="22">
        <v>18188817400</v>
      </c>
      <c r="D18" s="22">
        <v>3061.89</v>
      </c>
      <c r="E18" s="22">
        <v>3104.69</v>
      </c>
      <c r="G18" s="25">
        <f t="shared" si="0"/>
        <v>1.39782944521194E-2</v>
      </c>
      <c r="K18" s="26" t="s">
        <v>64</v>
      </c>
      <c r="L18" s="30">
        <f>AVERAGE(C2:C60)</f>
        <v>17561030355.881355</v>
      </c>
    </row>
    <row r="19" spans="1:12" x14ac:dyDescent="0.35">
      <c r="A19" s="1">
        <v>44671</v>
      </c>
      <c r="B19" s="22">
        <v>373782979943</v>
      </c>
      <c r="C19" s="22">
        <v>13472639207</v>
      </c>
      <c r="D19" s="22">
        <v>3104.69</v>
      </c>
      <c r="E19" s="22">
        <v>3079.68</v>
      </c>
      <c r="G19" s="25">
        <f t="shared" si="0"/>
        <v>-8.055554660851838E-3</v>
      </c>
    </row>
    <row r="20" spans="1:12" x14ac:dyDescent="0.35">
      <c r="A20" s="1">
        <v>44672</v>
      </c>
      <c r="B20" s="22">
        <v>370910549449</v>
      </c>
      <c r="C20" s="22">
        <v>15155965878</v>
      </c>
      <c r="D20" s="22">
        <v>3079.68</v>
      </c>
      <c r="E20" s="22">
        <v>2987.49</v>
      </c>
      <c r="G20" s="25">
        <f t="shared" si="0"/>
        <v>-2.9934928304239383E-2</v>
      </c>
    </row>
    <row r="21" spans="1:12" x14ac:dyDescent="0.35">
      <c r="A21" s="1">
        <v>44673</v>
      </c>
      <c r="B21" s="22">
        <v>359917773311</v>
      </c>
      <c r="C21" s="22">
        <v>20529419340</v>
      </c>
      <c r="D21" s="22">
        <v>2987.49</v>
      </c>
      <c r="E21" s="22">
        <v>2967.09</v>
      </c>
      <c r="G21" s="25">
        <f t="shared" si="0"/>
        <v>-6.8284747396643031E-3</v>
      </c>
      <c r="H21" s="23">
        <f>AVERAGE(D2:D21)</f>
        <v>3175.2089999999998</v>
      </c>
      <c r="I21" s="23">
        <f>AVERAGE(C2:C21)</f>
        <v>15861153886.1</v>
      </c>
    </row>
    <row r="22" spans="1:12" x14ac:dyDescent="0.35">
      <c r="A22" s="1">
        <v>44674</v>
      </c>
      <c r="B22" s="22">
        <v>357702343020</v>
      </c>
      <c r="C22" s="22">
        <v>16155619719</v>
      </c>
      <c r="D22" s="22">
        <v>2967.09</v>
      </c>
      <c r="E22" s="22">
        <v>2940.69</v>
      </c>
      <c r="G22" s="25">
        <f t="shared" si="0"/>
        <v>-8.8976067460037056E-3</v>
      </c>
      <c r="H22" s="23">
        <f t="shared" ref="H22:H60" si="1">AVERAGE(D3:D22)</f>
        <v>3151.5464999999995</v>
      </c>
      <c r="I22" s="23">
        <f t="shared" ref="I22:I60" si="2">AVERAGE(C3:C22)</f>
        <v>15564377833.799999</v>
      </c>
    </row>
    <row r="23" spans="1:12" x14ac:dyDescent="0.35">
      <c r="A23" s="1">
        <v>44675</v>
      </c>
      <c r="B23" s="22">
        <v>354358143095</v>
      </c>
      <c r="C23" s="22">
        <v>8633203958</v>
      </c>
      <c r="D23" s="22">
        <v>2940.69</v>
      </c>
      <c r="E23" s="22">
        <v>2922.9</v>
      </c>
      <c r="G23" s="25">
        <f t="shared" si="0"/>
        <v>-6.0496006039398864E-3</v>
      </c>
      <c r="H23" s="23">
        <f t="shared" si="1"/>
        <v>3122.5020000000004</v>
      </c>
      <c r="I23" s="23">
        <f t="shared" si="2"/>
        <v>15295046617.65</v>
      </c>
    </row>
    <row r="24" spans="1:12" x14ac:dyDescent="0.35">
      <c r="A24" s="1">
        <v>44676</v>
      </c>
      <c r="B24" s="22">
        <v>352895958715</v>
      </c>
      <c r="C24" s="22">
        <v>9196851418</v>
      </c>
      <c r="D24" s="22">
        <v>2922.9</v>
      </c>
      <c r="E24" s="22">
        <v>3008.34</v>
      </c>
      <c r="G24" s="25">
        <f t="shared" si="0"/>
        <v>2.9231242943651869E-2</v>
      </c>
      <c r="H24" s="23">
        <f t="shared" si="1"/>
        <v>3092.5985000000005</v>
      </c>
      <c r="I24" s="23">
        <f t="shared" si="2"/>
        <v>14908593237.85</v>
      </c>
    </row>
    <row r="25" spans="1:12" x14ac:dyDescent="0.35">
      <c r="A25" s="1">
        <v>44677</v>
      </c>
      <c r="B25" s="22">
        <v>362590296738</v>
      </c>
      <c r="C25" s="22">
        <v>22037549639</v>
      </c>
      <c r="D25" s="22">
        <v>3008.34</v>
      </c>
      <c r="E25" s="22">
        <v>2806.75</v>
      </c>
      <c r="G25" s="25">
        <f t="shared" si="0"/>
        <v>-6.7010377816337341E-2</v>
      </c>
      <c r="H25" s="23">
        <f t="shared" si="1"/>
        <v>3071.8670000000006</v>
      </c>
      <c r="I25" s="23">
        <f t="shared" si="2"/>
        <v>15254767944.700001</v>
      </c>
    </row>
    <row r="26" spans="1:12" x14ac:dyDescent="0.35">
      <c r="A26" s="1">
        <v>44678</v>
      </c>
      <c r="B26" s="22">
        <v>338098235744</v>
      </c>
      <c r="C26" s="22">
        <v>17750798289</v>
      </c>
      <c r="D26" s="22">
        <v>2806.75</v>
      </c>
      <c r="E26" s="22">
        <v>2889.59</v>
      </c>
      <c r="G26" s="25">
        <f t="shared" si="0"/>
        <v>2.9514563106796121E-2</v>
      </c>
      <c r="H26" s="23">
        <f t="shared" si="1"/>
        <v>3053.6360000000009</v>
      </c>
      <c r="I26" s="23">
        <f t="shared" si="2"/>
        <v>14836819692.4</v>
      </c>
    </row>
    <row r="27" spans="1:12" x14ac:dyDescent="0.35">
      <c r="A27" s="1">
        <v>44679</v>
      </c>
      <c r="B27" s="22">
        <v>348355348857</v>
      </c>
      <c r="C27" s="22">
        <v>17036298769</v>
      </c>
      <c r="D27" s="22">
        <v>2889.59</v>
      </c>
      <c r="E27" s="22">
        <v>2932.46</v>
      </c>
      <c r="G27" s="25">
        <f t="shared" si="0"/>
        <v>1.4836014797947161E-2</v>
      </c>
      <c r="H27" s="23">
        <f t="shared" si="1"/>
        <v>3036.4740000000006</v>
      </c>
      <c r="I27" s="23">
        <f t="shared" si="2"/>
        <v>14881145835.1</v>
      </c>
    </row>
    <row r="28" spans="1:12" x14ac:dyDescent="0.35">
      <c r="A28" s="1">
        <v>44680</v>
      </c>
      <c r="B28" s="22">
        <v>353388170473</v>
      </c>
      <c r="C28" s="22">
        <v>18249410920</v>
      </c>
      <c r="D28" s="22">
        <v>2932.46</v>
      </c>
      <c r="E28" s="22">
        <v>2817.49</v>
      </c>
      <c r="G28" s="25">
        <f t="shared" si="0"/>
        <v>-3.9205990874555896E-2</v>
      </c>
      <c r="H28" s="23">
        <f t="shared" si="1"/>
        <v>3023.4955</v>
      </c>
      <c r="I28" s="23">
        <f t="shared" si="2"/>
        <v>14917419403.35</v>
      </c>
    </row>
    <row r="29" spans="1:12" x14ac:dyDescent="0.35">
      <c r="A29" s="1">
        <v>44681</v>
      </c>
      <c r="B29" s="22">
        <v>340291788027</v>
      </c>
      <c r="C29" s="22">
        <v>17902735174</v>
      </c>
      <c r="D29" s="22">
        <v>2817.49</v>
      </c>
      <c r="E29" s="22">
        <v>2738.17</v>
      </c>
      <c r="G29" s="25">
        <f t="shared" si="0"/>
        <v>-2.8152717489680401E-2</v>
      </c>
      <c r="H29" s="23">
        <f t="shared" si="1"/>
        <v>3001.0729999999994</v>
      </c>
      <c r="I29" s="23">
        <f t="shared" si="2"/>
        <v>15346717669.85</v>
      </c>
    </row>
    <row r="30" spans="1:12" x14ac:dyDescent="0.35">
      <c r="A30" s="1">
        <v>44682</v>
      </c>
      <c r="B30" s="22">
        <v>330211251741</v>
      </c>
      <c r="C30" s="22">
        <v>12618462103</v>
      </c>
      <c r="D30" s="22">
        <v>2738.17</v>
      </c>
      <c r="E30" s="22">
        <v>2832.51</v>
      </c>
      <c r="G30" s="25">
        <f t="shared" si="0"/>
        <v>3.4453667960718359E-2</v>
      </c>
      <c r="H30" s="23">
        <f t="shared" si="1"/>
        <v>2977.0235000000002</v>
      </c>
      <c r="I30" s="23">
        <f t="shared" si="2"/>
        <v>15477372118.15</v>
      </c>
    </row>
    <row r="31" spans="1:12" x14ac:dyDescent="0.35">
      <c r="A31" s="1">
        <v>44683</v>
      </c>
      <c r="B31" s="22">
        <v>341626180827</v>
      </c>
      <c r="C31" s="22">
        <v>14489173445</v>
      </c>
      <c r="D31" s="22">
        <v>2832.51</v>
      </c>
      <c r="E31" s="22">
        <v>2861.37</v>
      </c>
      <c r="G31" s="25">
        <f t="shared" si="0"/>
        <v>1.0188843110880308E-2</v>
      </c>
      <c r="H31" s="23">
        <f t="shared" si="1"/>
        <v>2969.0140000000001</v>
      </c>
      <c r="I31" s="23">
        <f t="shared" si="2"/>
        <v>15144680922.4</v>
      </c>
    </row>
    <row r="32" spans="1:12" x14ac:dyDescent="0.35">
      <c r="A32" s="1">
        <v>44684</v>
      </c>
      <c r="B32" s="22">
        <v>345080135066</v>
      </c>
      <c r="C32" s="22">
        <v>17701813871</v>
      </c>
      <c r="D32" s="22">
        <v>2861.37</v>
      </c>
      <c r="E32" s="22">
        <v>2786.05</v>
      </c>
      <c r="G32" s="25">
        <f t="shared" si="0"/>
        <v>-2.6323055040068155E-2</v>
      </c>
      <c r="H32" s="23">
        <f t="shared" si="1"/>
        <v>2960.172</v>
      </c>
      <c r="I32" s="23">
        <f t="shared" si="2"/>
        <v>15080887632.75</v>
      </c>
    </row>
    <row r="33" spans="1:9" x14ac:dyDescent="0.35">
      <c r="A33" s="1">
        <v>44685</v>
      </c>
      <c r="B33" s="22">
        <v>336655132685</v>
      </c>
      <c r="C33" s="22">
        <v>12836324478</v>
      </c>
      <c r="D33" s="22">
        <v>2786.05</v>
      </c>
      <c r="E33" s="22">
        <v>2942.05</v>
      </c>
      <c r="G33" s="25">
        <f t="shared" si="0"/>
        <v>5.5993252095260404E-2</v>
      </c>
      <c r="H33" s="23">
        <f t="shared" si="1"/>
        <v>2943.4044999999996</v>
      </c>
      <c r="I33" s="23">
        <f t="shared" si="2"/>
        <v>14950057963.9</v>
      </c>
    </row>
    <row r="34" spans="1:9" x14ac:dyDescent="0.35">
      <c r="A34" s="1">
        <v>44686</v>
      </c>
      <c r="B34" s="22">
        <v>355229761723</v>
      </c>
      <c r="C34" s="22">
        <v>17336934450</v>
      </c>
      <c r="D34" s="22">
        <v>2942.05</v>
      </c>
      <c r="E34" s="22">
        <v>2753.94</v>
      </c>
      <c r="G34" s="25">
        <f t="shared" si="0"/>
        <v>-6.3938410292143311E-2</v>
      </c>
      <c r="H34" s="23">
        <f t="shared" si="1"/>
        <v>2939.3360000000002</v>
      </c>
      <c r="I34" s="23">
        <f t="shared" si="2"/>
        <v>15022125361.15</v>
      </c>
    </row>
    <row r="35" spans="1:9" x14ac:dyDescent="0.35">
      <c r="A35" s="1">
        <v>44687</v>
      </c>
      <c r="B35" s="22">
        <v>332103738940</v>
      </c>
      <c r="C35" s="22">
        <v>20868783133</v>
      </c>
      <c r="D35" s="22">
        <v>2753.94</v>
      </c>
      <c r="E35" s="22">
        <v>2699.71</v>
      </c>
      <c r="G35" s="25">
        <f t="shared" si="0"/>
        <v>-1.969178703965957E-2</v>
      </c>
      <c r="H35" s="23">
        <f t="shared" si="1"/>
        <v>2924.7615000000005</v>
      </c>
      <c r="I35" s="23">
        <f t="shared" si="2"/>
        <v>15438402340.25</v>
      </c>
    </row>
    <row r="36" spans="1:9" x14ac:dyDescent="0.35">
      <c r="A36" s="1">
        <v>44688</v>
      </c>
      <c r="B36" s="22">
        <v>325971900416</v>
      </c>
      <c r="C36" s="22">
        <v>20516541977</v>
      </c>
      <c r="D36" s="22">
        <v>2699.71</v>
      </c>
      <c r="E36" s="22">
        <v>2641.23</v>
      </c>
      <c r="G36" s="25">
        <f t="shared" si="0"/>
        <v>-2.1661585874038325E-2</v>
      </c>
      <c r="H36" s="23">
        <f t="shared" si="1"/>
        <v>2906.4290000000005</v>
      </c>
      <c r="I36" s="23">
        <f t="shared" si="2"/>
        <v>16011032486.700001</v>
      </c>
    </row>
    <row r="37" spans="1:9" x14ac:dyDescent="0.35">
      <c r="A37" s="1">
        <v>44689</v>
      </c>
      <c r="B37" s="22">
        <v>319030900104</v>
      </c>
      <c r="C37" s="22">
        <v>12528069434</v>
      </c>
      <c r="D37" s="22">
        <v>2641.23</v>
      </c>
      <c r="E37" s="22">
        <v>2517.83</v>
      </c>
      <c r="G37" s="25">
        <f t="shared" si="0"/>
        <v>-4.6720656663751359E-2</v>
      </c>
      <c r="H37" s="23">
        <f t="shared" si="1"/>
        <v>2888.7045000000007</v>
      </c>
      <c r="I37" s="23">
        <f t="shared" si="2"/>
        <v>16160270630.1</v>
      </c>
    </row>
    <row r="38" spans="1:9" x14ac:dyDescent="0.35">
      <c r="A38" s="1">
        <v>44690</v>
      </c>
      <c r="B38" s="22">
        <v>304412453306</v>
      </c>
      <c r="C38" s="22">
        <v>20582973186</v>
      </c>
      <c r="D38" s="22">
        <v>2517.83</v>
      </c>
      <c r="E38" s="22">
        <v>2249.89</v>
      </c>
      <c r="G38" s="25">
        <f t="shared" si="0"/>
        <v>-0.10641703371554079</v>
      </c>
      <c r="H38" s="23">
        <f t="shared" si="1"/>
        <v>2861.5015000000008</v>
      </c>
      <c r="I38" s="23">
        <f t="shared" si="2"/>
        <v>16279978419.4</v>
      </c>
    </row>
    <row r="39" spans="1:9" x14ac:dyDescent="0.35">
      <c r="A39" s="1">
        <v>44691</v>
      </c>
      <c r="B39" s="22">
        <v>271594796947</v>
      </c>
      <c r="C39" s="22">
        <v>34392685562</v>
      </c>
      <c r="D39" s="22">
        <v>2249.89</v>
      </c>
      <c r="E39" s="22">
        <v>2344.8000000000002</v>
      </c>
      <c r="G39" s="25">
        <f t="shared" si="0"/>
        <v>4.2184284565023322E-2</v>
      </c>
      <c r="H39" s="23">
        <f t="shared" si="1"/>
        <v>2818.761500000001</v>
      </c>
      <c r="I39" s="23">
        <f t="shared" si="2"/>
        <v>17325980737.150002</v>
      </c>
    </row>
    <row r="40" spans="1:9" x14ac:dyDescent="0.35">
      <c r="A40" s="1">
        <v>44692</v>
      </c>
      <c r="B40" s="22">
        <v>283082341315</v>
      </c>
      <c r="C40" s="22">
        <v>36844564808</v>
      </c>
      <c r="D40" s="22">
        <v>2344.8000000000002</v>
      </c>
      <c r="E40" s="22">
        <v>2080.91</v>
      </c>
      <c r="G40" s="25">
        <f t="shared" si="0"/>
        <v>-0.11254264756055965</v>
      </c>
      <c r="H40" s="23">
        <f t="shared" si="1"/>
        <v>2782.0175000000008</v>
      </c>
      <c r="I40" s="23">
        <f t="shared" si="2"/>
        <v>18410410683.650002</v>
      </c>
    </row>
    <row r="41" spans="1:9" x14ac:dyDescent="0.35">
      <c r="A41" s="1">
        <v>44693</v>
      </c>
      <c r="B41" s="22">
        <v>250066823475</v>
      </c>
      <c r="C41" s="22">
        <v>46548009611</v>
      </c>
      <c r="D41" s="22">
        <v>2080.91</v>
      </c>
      <c r="E41" s="22">
        <v>1966.7</v>
      </c>
      <c r="G41" s="25">
        <f t="shared" si="0"/>
        <v>-5.4884641815359569E-2</v>
      </c>
      <c r="H41" s="23">
        <f t="shared" si="1"/>
        <v>2736.6885000000002</v>
      </c>
      <c r="I41" s="23">
        <f t="shared" si="2"/>
        <v>19711340197.200001</v>
      </c>
    </row>
    <row r="42" spans="1:9" x14ac:dyDescent="0.35">
      <c r="A42" s="1">
        <v>44694</v>
      </c>
      <c r="B42" s="22">
        <v>238137944006</v>
      </c>
      <c r="C42" s="22">
        <v>41621733327</v>
      </c>
      <c r="D42" s="22">
        <v>1966.7</v>
      </c>
      <c r="E42" s="22">
        <v>2010.21</v>
      </c>
      <c r="G42" s="25">
        <f t="shared" si="0"/>
        <v>2.2123353841460247E-2</v>
      </c>
      <c r="H42" s="23">
        <f t="shared" si="1"/>
        <v>2686.6690000000003</v>
      </c>
      <c r="I42" s="23">
        <f t="shared" si="2"/>
        <v>20984645877.599998</v>
      </c>
    </row>
    <row r="43" spans="1:9" x14ac:dyDescent="0.35">
      <c r="A43" s="1">
        <v>44695</v>
      </c>
      <c r="B43" s="22">
        <v>243391440609</v>
      </c>
      <c r="C43" s="22">
        <v>23979529161</v>
      </c>
      <c r="D43" s="22">
        <v>2010.21</v>
      </c>
      <c r="E43" s="22">
        <v>2064.23</v>
      </c>
      <c r="G43" s="25">
        <f t="shared" si="0"/>
        <v>2.6872814283084745E-2</v>
      </c>
      <c r="H43" s="23">
        <f t="shared" si="1"/>
        <v>2640.145</v>
      </c>
      <c r="I43" s="23">
        <f t="shared" si="2"/>
        <v>21751962137.75</v>
      </c>
    </row>
    <row r="44" spans="1:9" x14ac:dyDescent="0.35">
      <c r="A44" s="1">
        <v>44696</v>
      </c>
      <c r="B44" s="22">
        <v>249319115268</v>
      </c>
      <c r="C44" s="22">
        <v>14395772635</v>
      </c>
      <c r="D44" s="22">
        <v>2064.23</v>
      </c>
      <c r="E44" s="22">
        <v>2147.0500000000002</v>
      </c>
      <c r="G44" s="25">
        <f t="shared" si="0"/>
        <v>4.0121498088875773E-2</v>
      </c>
      <c r="H44" s="23">
        <f t="shared" si="1"/>
        <v>2597.2114999999999</v>
      </c>
      <c r="I44" s="23">
        <f t="shared" si="2"/>
        <v>22011908198.599998</v>
      </c>
    </row>
    <row r="45" spans="1:9" x14ac:dyDescent="0.35">
      <c r="A45" s="1">
        <v>44697</v>
      </c>
      <c r="B45" s="22">
        <v>259350256988</v>
      </c>
      <c r="C45" s="22">
        <v>14395455889</v>
      </c>
      <c r="D45" s="22">
        <v>2147.0500000000002</v>
      </c>
      <c r="E45" s="22">
        <v>2025.89</v>
      </c>
      <c r="G45" s="25">
        <f t="shared" si="0"/>
        <v>-5.6430916839384282E-2</v>
      </c>
      <c r="H45" s="23">
        <f t="shared" si="1"/>
        <v>2554.1469999999999</v>
      </c>
      <c r="I45" s="23">
        <f t="shared" si="2"/>
        <v>21629803511.099998</v>
      </c>
    </row>
    <row r="46" spans="1:9" x14ac:dyDescent="0.35">
      <c r="A46" s="1">
        <v>44698</v>
      </c>
      <c r="B46" s="22">
        <v>244741893934</v>
      </c>
      <c r="C46" s="22">
        <v>20068743682</v>
      </c>
      <c r="D46" s="22">
        <v>2025.89</v>
      </c>
      <c r="E46" s="22">
        <v>2095.1799999999998</v>
      </c>
      <c r="G46" s="25">
        <f t="shared" si="0"/>
        <v>3.4202251849804188E-2</v>
      </c>
      <c r="H46" s="23">
        <f t="shared" si="1"/>
        <v>2515.1040000000003</v>
      </c>
      <c r="I46" s="23">
        <f t="shared" si="2"/>
        <v>21745700780.75</v>
      </c>
    </row>
    <row r="47" spans="1:9" x14ac:dyDescent="0.35">
      <c r="A47" s="1">
        <v>44699</v>
      </c>
      <c r="B47" s="22">
        <v>253640825086</v>
      </c>
      <c r="C47" s="22">
        <v>17005002529</v>
      </c>
      <c r="D47" s="22">
        <v>2095.1799999999998</v>
      </c>
      <c r="E47" s="22">
        <v>1915.18</v>
      </c>
      <c r="G47" s="25">
        <f t="shared" si="0"/>
        <v>-8.591147299993307E-2</v>
      </c>
      <c r="H47" s="23">
        <f t="shared" si="1"/>
        <v>2475.3835000000004</v>
      </c>
      <c r="I47" s="23">
        <f t="shared" si="2"/>
        <v>21744135968.75</v>
      </c>
    </row>
    <row r="48" spans="1:9" x14ac:dyDescent="0.35">
      <c r="A48" s="1">
        <v>44700</v>
      </c>
      <c r="B48" s="22">
        <v>232056327520</v>
      </c>
      <c r="C48" s="22">
        <v>15892119501</v>
      </c>
      <c r="D48" s="22">
        <v>1915.18</v>
      </c>
      <c r="E48" s="22">
        <v>2023.85</v>
      </c>
      <c r="G48" s="25">
        <f t="shared" si="0"/>
        <v>5.6741402896855586E-2</v>
      </c>
      <c r="H48" s="23">
        <f t="shared" si="1"/>
        <v>2424.5194999999999</v>
      </c>
      <c r="I48" s="23">
        <f t="shared" si="2"/>
        <v>21626271397.799999</v>
      </c>
    </row>
    <row r="49" spans="1:9" x14ac:dyDescent="0.35">
      <c r="A49" s="1">
        <v>44701</v>
      </c>
      <c r="B49" s="22">
        <v>244359004843</v>
      </c>
      <c r="C49" s="22">
        <v>17828306699</v>
      </c>
      <c r="D49" s="22">
        <v>2023.85</v>
      </c>
      <c r="E49" s="22">
        <v>1963.99</v>
      </c>
      <c r="G49" s="25">
        <f t="shared" si="0"/>
        <v>-2.9577290807125012E-2</v>
      </c>
      <c r="H49" s="23">
        <f t="shared" si="1"/>
        <v>2384.8374999999996</v>
      </c>
      <c r="I49" s="23">
        <f t="shared" si="2"/>
        <v>21622549974.049999</v>
      </c>
    </row>
    <row r="50" spans="1:9" x14ac:dyDescent="0.35">
      <c r="A50" s="1">
        <v>44702</v>
      </c>
      <c r="B50" s="22">
        <v>237366807799</v>
      </c>
      <c r="C50" s="22">
        <v>14638100163</v>
      </c>
      <c r="D50" s="22">
        <v>1963.99</v>
      </c>
      <c r="E50" s="22">
        <v>1978.15</v>
      </c>
      <c r="G50" s="25">
        <f t="shared" si="0"/>
        <v>7.2098126772539572E-3</v>
      </c>
      <c r="H50" s="23">
        <f t="shared" si="1"/>
        <v>2346.1284999999998</v>
      </c>
      <c r="I50" s="23">
        <f t="shared" si="2"/>
        <v>21723531877.049999</v>
      </c>
    </row>
    <row r="51" spans="1:9" x14ac:dyDescent="0.35">
      <c r="A51" s="1">
        <v>44703</v>
      </c>
      <c r="B51" s="22">
        <v>239102942425</v>
      </c>
      <c r="C51" s="22">
        <v>7551508571</v>
      </c>
      <c r="D51" s="22">
        <v>1978.15</v>
      </c>
      <c r="E51" s="22">
        <v>2046.65</v>
      </c>
      <c r="G51" s="25">
        <f t="shared" si="0"/>
        <v>3.4628314334099963E-2</v>
      </c>
      <c r="H51" s="23">
        <f t="shared" si="1"/>
        <v>2303.4105</v>
      </c>
      <c r="I51" s="23">
        <f t="shared" si="2"/>
        <v>21376648633.349998</v>
      </c>
    </row>
    <row r="52" spans="1:9" x14ac:dyDescent="0.35">
      <c r="A52" s="1">
        <v>44704</v>
      </c>
      <c r="B52" s="22">
        <v>247730054115</v>
      </c>
      <c r="C52" s="22">
        <v>9623174528</v>
      </c>
      <c r="D52" s="22">
        <v>2046.65</v>
      </c>
      <c r="E52" s="22">
        <v>1974.58</v>
      </c>
      <c r="G52" s="25">
        <f t="shared" si="0"/>
        <v>-3.5213641804900719E-2</v>
      </c>
      <c r="H52" s="23">
        <f t="shared" si="1"/>
        <v>2262.6745000000001</v>
      </c>
      <c r="I52" s="23">
        <f t="shared" si="2"/>
        <v>20972716666.200001</v>
      </c>
    </row>
    <row r="53" spans="1:9" x14ac:dyDescent="0.35">
      <c r="A53" s="1">
        <v>44705</v>
      </c>
      <c r="B53" s="22">
        <v>238722810744</v>
      </c>
      <c r="C53" s="22">
        <v>14627311158</v>
      </c>
      <c r="D53" s="22">
        <v>1974.58</v>
      </c>
      <c r="E53" s="22">
        <v>1979.77</v>
      </c>
      <c r="G53" s="25">
        <f t="shared" si="0"/>
        <v>2.628407053651971E-3</v>
      </c>
      <c r="H53" s="23">
        <f t="shared" si="1"/>
        <v>2222.1009999999997</v>
      </c>
      <c r="I53" s="23">
        <f t="shared" si="2"/>
        <v>21062266000.200001</v>
      </c>
    </row>
    <row r="54" spans="1:9" x14ac:dyDescent="0.35">
      <c r="A54" s="1">
        <v>44706</v>
      </c>
      <c r="B54" s="22">
        <v>239375431793</v>
      </c>
      <c r="C54" s="22">
        <v>12880481568</v>
      </c>
      <c r="D54" s="22">
        <v>1979.77</v>
      </c>
      <c r="E54" s="22">
        <v>1944.84</v>
      </c>
      <c r="G54" s="25">
        <f t="shared" si="0"/>
        <v>-1.7643463634664625E-2</v>
      </c>
      <c r="H54" s="23">
        <f t="shared" si="1"/>
        <v>2173.9870000000001</v>
      </c>
      <c r="I54" s="23">
        <f t="shared" si="2"/>
        <v>20839443356.099998</v>
      </c>
    </row>
    <row r="55" spans="1:9" x14ac:dyDescent="0.35">
      <c r="A55" s="1">
        <v>44707</v>
      </c>
      <c r="B55" s="22">
        <v>235347664835</v>
      </c>
      <c r="C55" s="22">
        <v>12554611854</v>
      </c>
      <c r="D55" s="22">
        <v>1944.84</v>
      </c>
      <c r="E55" s="22">
        <v>1807.97</v>
      </c>
      <c r="G55" s="25">
        <f t="shared" si="0"/>
        <v>-7.0375969231401991E-2</v>
      </c>
      <c r="H55" s="23">
        <f t="shared" si="1"/>
        <v>2133.5319999999997</v>
      </c>
      <c r="I55" s="23">
        <f t="shared" si="2"/>
        <v>20423734792.150002</v>
      </c>
    </row>
    <row r="56" spans="1:9" x14ac:dyDescent="0.35">
      <c r="A56" s="1">
        <v>44708</v>
      </c>
      <c r="B56" s="22">
        <v>219247293980</v>
      </c>
      <c r="C56" s="22">
        <v>22669347247</v>
      </c>
      <c r="D56" s="22">
        <v>1807.97</v>
      </c>
      <c r="E56" s="22">
        <v>1724.88</v>
      </c>
      <c r="G56" s="25">
        <f t="shared" si="0"/>
        <v>-4.5957620978224201E-2</v>
      </c>
      <c r="H56" s="23">
        <f t="shared" si="1"/>
        <v>2088.9449999999997</v>
      </c>
      <c r="I56" s="23">
        <f t="shared" si="2"/>
        <v>20531375055.650002</v>
      </c>
    </row>
    <row r="57" spans="1:9" x14ac:dyDescent="0.35">
      <c r="A57" s="1">
        <v>44709</v>
      </c>
      <c r="B57" s="22">
        <v>208622909554</v>
      </c>
      <c r="C57" s="22">
        <v>24344535949</v>
      </c>
      <c r="D57" s="22">
        <v>1724.88</v>
      </c>
      <c r="E57" s="22">
        <v>1798.69</v>
      </c>
      <c r="G57" s="25">
        <f t="shared" si="0"/>
        <v>4.2791382588933669E-2</v>
      </c>
      <c r="H57" s="23">
        <f t="shared" si="1"/>
        <v>2043.1274999999998</v>
      </c>
      <c r="I57" s="23">
        <f t="shared" si="2"/>
        <v>21122198381.400002</v>
      </c>
    </row>
    <row r="58" spans="1:9" x14ac:dyDescent="0.35">
      <c r="A58" s="1">
        <v>44710</v>
      </c>
      <c r="B58" s="22">
        <v>217791356993</v>
      </c>
      <c r="C58" s="22">
        <v>12004308559</v>
      </c>
      <c r="D58" s="22">
        <v>1798.69</v>
      </c>
      <c r="E58" s="22">
        <v>1814.98</v>
      </c>
      <c r="G58" s="25">
        <f t="shared" si="0"/>
        <v>9.0565911858073722E-3</v>
      </c>
      <c r="H58" s="23">
        <f t="shared" si="1"/>
        <v>2007.1704999999997</v>
      </c>
      <c r="I58" s="23">
        <f t="shared" si="2"/>
        <v>20693265150.049999</v>
      </c>
    </row>
    <row r="59" spans="1:9" x14ac:dyDescent="0.35">
      <c r="A59" s="1">
        <v>44711</v>
      </c>
      <c r="B59" s="22">
        <v>219535934458</v>
      </c>
      <c r="C59" s="22">
        <v>9767849361</v>
      </c>
      <c r="D59" s="22">
        <v>1814.98</v>
      </c>
      <c r="E59" s="22">
        <v>1995.94</v>
      </c>
      <c r="G59" s="25">
        <f t="shared" si="0"/>
        <v>9.9703578000859494E-2</v>
      </c>
      <c r="H59" s="23">
        <f t="shared" si="1"/>
        <v>1985.4250000000004</v>
      </c>
      <c r="I59" s="23">
        <f t="shared" si="2"/>
        <v>19462023340</v>
      </c>
    </row>
    <row r="60" spans="1:9" x14ac:dyDescent="0.35">
      <c r="A60" s="1">
        <v>44712</v>
      </c>
      <c r="B60" s="22">
        <v>241204871683</v>
      </c>
      <c r="C60" s="22">
        <v>18803016950</v>
      </c>
      <c r="D60" s="22">
        <v>1995.94</v>
      </c>
      <c r="E60" s="22">
        <v>1944.08</v>
      </c>
      <c r="G60" s="25">
        <f t="shared" si="0"/>
        <v>-2.5982744972293803E-2</v>
      </c>
      <c r="H60" s="23">
        <f t="shared" si="1"/>
        <v>1967.9820000000004</v>
      </c>
      <c r="I60" s="23">
        <f t="shared" si="2"/>
        <v>18559945947.099998</v>
      </c>
    </row>
  </sheetData>
  <conditionalFormatting sqref="G1:G1048576">
    <cfRule type="cellIs" dxfId="1" priority="2" operator="lessThan">
      <formula>0</formula>
    </cfRule>
  </conditionalFormatting>
  <conditionalFormatting sqref="G3:G60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Introduction</vt:lpstr>
      <vt:lpstr>Regression Analysis</vt:lpstr>
      <vt:lpstr>Forecast Analysis</vt:lpstr>
      <vt:lpstr>Detailed Analysis</vt:lpstr>
      <vt:lpstr>'Detailed Analysis'!ExternalData_5</vt:lpstr>
      <vt:lpstr>'Regression Analysis'!ExternalData_5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381642875654</dc:creator>
  <cp:lastModifiedBy>381642875654</cp:lastModifiedBy>
  <dcterms:created xsi:type="dcterms:W3CDTF">2022-06-01T17:38:27Z</dcterms:created>
  <dcterms:modified xsi:type="dcterms:W3CDTF">2022-06-04T15:44:45Z</dcterms:modified>
</cp:coreProperties>
</file>